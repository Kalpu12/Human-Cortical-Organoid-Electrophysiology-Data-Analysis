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C:\Users\bsman\Downloads\Old Organoids Data\"/>
    </mc:Choice>
  </mc:AlternateContent>
  <xr:revisionPtr revIDLastSave="0" documentId="13_ncr:1_{D16DE24A-3577-4CA6-BED6-281EB1BEDF3F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6 Days Ventral Only-Averag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X4" i="1" l="1"/>
  <c r="X5" i="1"/>
  <c r="X6" i="1"/>
  <c r="X7" i="1"/>
  <c r="X8" i="1"/>
  <c r="X9" i="1"/>
  <c r="X10" i="1"/>
  <c r="X11" i="1"/>
  <c r="X12" i="1"/>
  <c r="X13" i="1"/>
  <c r="X14" i="1"/>
  <c r="X15" i="1"/>
  <c r="X16" i="1"/>
  <c r="X17" i="1"/>
  <c r="X18" i="1"/>
  <c r="X19" i="1"/>
  <c r="X20" i="1"/>
  <c r="X21" i="1"/>
  <c r="X22" i="1"/>
  <c r="X23" i="1"/>
  <c r="X24" i="1"/>
  <c r="X25" i="1"/>
  <c r="X26" i="1"/>
  <c r="X27" i="1"/>
  <c r="X28" i="1"/>
  <c r="X29" i="1"/>
  <c r="X30" i="1"/>
  <c r="X31" i="1"/>
  <c r="X32" i="1"/>
  <c r="X33" i="1"/>
  <c r="X34" i="1"/>
  <c r="X35" i="1"/>
  <c r="X36" i="1"/>
  <c r="X37" i="1"/>
  <c r="X38" i="1"/>
  <c r="X39" i="1"/>
  <c r="X40" i="1"/>
  <c r="X41" i="1"/>
  <c r="X42" i="1"/>
  <c r="X43" i="1"/>
  <c r="X44" i="1"/>
  <c r="X45" i="1"/>
  <c r="X46" i="1"/>
  <c r="X47" i="1"/>
  <c r="X48" i="1"/>
  <c r="X49" i="1"/>
  <c r="X50" i="1"/>
  <c r="X51" i="1"/>
  <c r="X52" i="1"/>
  <c r="X53" i="1"/>
  <c r="X54" i="1"/>
  <c r="X55" i="1"/>
  <c r="X56" i="1"/>
  <c r="X57" i="1"/>
  <c r="X58" i="1"/>
  <c r="X59" i="1"/>
  <c r="X60" i="1"/>
  <c r="X61" i="1"/>
  <c r="X62" i="1"/>
  <c r="X63" i="1"/>
  <c r="X64" i="1"/>
  <c r="X65" i="1"/>
  <c r="X66" i="1"/>
  <c r="X67" i="1"/>
  <c r="X68" i="1"/>
  <c r="X69" i="1"/>
  <c r="X70" i="1"/>
  <c r="X71" i="1"/>
  <c r="X72" i="1"/>
  <c r="X73" i="1"/>
  <c r="X74" i="1"/>
  <c r="X75" i="1"/>
  <c r="X76" i="1"/>
  <c r="X77" i="1"/>
  <c r="X78" i="1"/>
  <c r="X79" i="1"/>
  <c r="X80" i="1"/>
  <c r="X81" i="1"/>
  <c r="X82" i="1"/>
  <c r="X83" i="1"/>
  <c r="X84" i="1"/>
  <c r="X85" i="1"/>
  <c r="X86" i="1"/>
  <c r="X87" i="1"/>
  <c r="X88" i="1"/>
  <c r="X89" i="1"/>
  <c r="X90" i="1"/>
  <c r="X91" i="1"/>
  <c r="X92" i="1"/>
  <c r="AD9" i="1" l="1"/>
  <c r="AD10" i="1"/>
  <c r="AD12" i="1"/>
  <c r="AD13" i="1"/>
  <c r="AD21" i="1"/>
  <c r="AD22" i="1"/>
  <c r="AD24" i="1"/>
  <c r="AD25" i="1"/>
  <c r="AD33" i="1"/>
  <c r="AD34" i="1"/>
  <c r="AD36" i="1"/>
  <c r="AD37" i="1"/>
  <c r="AD45" i="1"/>
  <c r="AD46" i="1"/>
  <c r="AD48" i="1"/>
  <c r="AD49" i="1"/>
  <c r="AD57" i="1"/>
  <c r="AD58" i="1"/>
  <c r="AD60" i="1"/>
  <c r="AD61" i="1"/>
  <c r="AD69" i="1"/>
  <c r="AD70" i="1"/>
  <c r="AD72" i="1"/>
  <c r="AD73" i="1"/>
  <c r="AD81" i="1"/>
  <c r="AD82" i="1"/>
  <c r="AD84" i="1"/>
  <c r="AD85" i="1"/>
  <c r="X3" i="1"/>
  <c r="R4" i="1"/>
  <c r="R5" i="1"/>
  <c r="R6" i="1"/>
  <c r="R7" i="1"/>
  <c r="R8" i="1"/>
  <c r="R9" i="1"/>
  <c r="R10" i="1"/>
  <c r="R11" i="1"/>
  <c r="S9" i="1" s="1"/>
  <c r="R12" i="1"/>
  <c r="R13" i="1"/>
  <c r="R14" i="1"/>
  <c r="R15" i="1"/>
  <c r="S14" i="1" s="1"/>
  <c r="R16" i="1"/>
  <c r="R17" i="1"/>
  <c r="R18" i="1"/>
  <c r="R19" i="1"/>
  <c r="R20" i="1"/>
  <c r="R21" i="1"/>
  <c r="R22" i="1"/>
  <c r="R23" i="1"/>
  <c r="S21" i="1" s="1"/>
  <c r="R24" i="1"/>
  <c r="R25" i="1"/>
  <c r="S23" i="1" s="1"/>
  <c r="R26" i="1"/>
  <c r="S24" i="1" s="1"/>
  <c r="R27" i="1"/>
  <c r="S25" i="1" s="1"/>
  <c r="R28" i="1"/>
  <c r="R29" i="1"/>
  <c r="R30" i="1"/>
  <c r="R31" i="1"/>
  <c r="R32" i="1"/>
  <c r="R33" i="1"/>
  <c r="R34" i="1"/>
  <c r="R35" i="1"/>
  <c r="S33" i="1" s="1"/>
  <c r="R36" i="1"/>
  <c r="R37" i="1"/>
  <c r="S35" i="1" s="1"/>
  <c r="R38" i="1"/>
  <c r="S36" i="1" s="1"/>
  <c r="R39" i="1"/>
  <c r="S37" i="1" s="1"/>
  <c r="R40" i="1"/>
  <c r="R41" i="1"/>
  <c r="R42" i="1"/>
  <c r="R43" i="1"/>
  <c r="R44" i="1"/>
  <c r="R45" i="1"/>
  <c r="R46" i="1"/>
  <c r="R47" i="1"/>
  <c r="S45" i="1" s="1"/>
  <c r="R48" i="1"/>
  <c r="R49" i="1"/>
  <c r="S47" i="1" s="1"/>
  <c r="R50" i="1"/>
  <c r="S48" i="1" s="1"/>
  <c r="R51" i="1"/>
  <c r="S49" i="1" s="1"/>
  <c r="R52" i="1"/>
  <c r="R53" i="1"/>
  <c r="R54" i="1"/>
  <c r="R55" i="1"/>
  <c r="R56" i="1"/>
  <c r="R57" i="1"/>
  <c r="R58" i="1"/>
  <c r="R59" i="1"/>
  <c r="S57" i="1" s="1"/>
  <c r="R60" i="1"/>
  <c r="R61" i="1"/>
  <c r="S59" i="1" s="1"/>
  <c r="R62" i="1"/>
  <c r="S60" i="1" s="1"/>
  <c r="R63" i="1"/>
  <c r="S61" i="1" s="1"/>
  <c r="R64" i="1"/>
  <c r="R65" i="1"/>
  <c r="R66" i="1"/>
  <c r="R67" i="1"/>
  <c r="R68" i="1"/>
  <c r="R69" i="1"/>
  <c r="R70" i="1"/>
  <c r="R71" i="1"/>
  <c r="S69" i="1" s="1"/>
  <c r="R72" i="1"/>
  <c r="R73" i="1"/>
  <c r="S71" i="1" s="1"/>
  <c r="R74" i="1"/>
  <c r="S72" i="1" s="1"/>
  <c r="R75" i="1"/>
  <c r="S73" i="1" s="1"/>
  <c r="R76" i="1"/>
  <c r="R77" i="1"/>
  <c r="R78" i="1"/>
  <c r="R79" i="1"/>
  <c r="R80" i="1"/>
  <c r="R81" i="1"/>
  <c r="R82" i="1"/>
  <c r="R83" i="1"/>
  <c r="S81" i="1" s="1"/>
  <c r="R84" i="1"/>
  <c r="R85" i="1"/>
  <c r="S83" i="1" s="1"/>
  <c r="R86" i="1"/>
  <c r="S84" i="1" s="1"/>
  <c r="R87" i="1"/>
  <c r="S85" i="1" s="1"/>
  <c r="R88" i="1"/>
  <c r="R89" i="1"/>
  <c r="R90" i="1"/>
  <c r="R91" i="1"/>
  <c r="R92" i="1"/>
  <c r="R3" i="1"/>
  <c r="L63" i="1"/>
  <c r="L64" i="1"/>
  <c r="L65" i="1"/>
  <c r="L66" i="1"/>
  <c r="L67" i="1"/>
  <c r="L68" i="1"/>
  <c r="L69" i="1"/>
  <c r="M67" i="1" s="1"/>
  <c r="L70" i="1"/>
  <c r="M68" i="1" s="1"/>
  <c r="L71" i="1"/>
  <c r="M69" i="1" s="1"/>
  <c r="L72" i="1"/>
  <c r="M70" i="1" s="1"/>
  <c r="L73" i="1"/>
  <c r="M71" i="1" s="1"/>
  <c r="L74" i="1"/>
  <c r="M72" i="1" s="1"/>
  <c r="L75" i="1"/>
  <c r="L76" i="1"/>
  <c r="L77" i="1"/>
  <c r="L78" i="1"/>
  <c r="L79" i="1"/>
  <c r="L80" i="1"/>
  <c r="L81" i="1"/>
  <c r="M79" i="1" s="1"/>
  <c r="L82" i="1"/>
  <c r="M80" i="1" s="1"/>
  <c r="L83" i="1"/>
  <c r="M81" i="1" s="1"/>
  <c r="L84" i="1"/>
  <c r="M82" i="1" s="1"/>
  <c r="L85" i="1"/>
  <c r="M83" i="1" s="1"/>
  <c r="L86" i="1"/>
  <c r="M85" i="1" s="1"/>
  <c r="L87" i="1"/>
  <c r="L88" i="1"/>
  <c r="L89" i="1"/>
  <c r="L90" i="1"/>
  <c r="L91" i="1"/>
  <c r="L92" i="1"/>
  <c r="L49" i="1"/>
  <c r="L50" i="1"/>
  <c r="L51" i="1"/>
  <c r="L52" i="1"/>
  <c r="L53" i="1"/>
  <c r="L54" i="1"/>
  <c r="L55" i="1"/>
  <c r="L56" i="1"/>
  <c r="M54" i="1" s="1"/>
  <c r="L57" i="1"/>
  <c r="M55" i="1" s="1"/>
  <c r="L58" i="1"/>
  <c r="M56" i="1" s="1"/>
  <c r="L59" i="1"/>
  <c r="M57" i="1" s="1"/>
  <c r="L60" i="1"/>
  <c r="M58" i="1" s="1"/>
  <c r="L61" i="1"/>
  <c r="L62" i="1"/>
  <c r="L4" i="1"/>
  <c r="L5" i="1"/>
  <c r="L6" i="1"/>
  <c r="L7" i="1"/>
  <c r="L8" i="1"/>
  <c r="L9" i="1"/>
  <c r="L10" i="1"/>
  <c r="L11" i="1"/>
  <c r="L12" i="1"/>
  <c r="L13" i="1"/>
  <c r="M11" i="1" s="1"/>
  <c r="L14" i="1"/>
  <c r="M12" i="1" s="1"/>
  <c r="L15" i="1"/>
  <c r="M13" i="1" s="1"/>
  <c r="L16" i="1"/>
  <c r="L17" i="1"/>
  <c r="L18" i="1"/>
  <c r="L19" i="1"/>
  <c r="L20" i="1"/>
  <c r="L21" i="1"/>
  <c r="M19" i="1" s="1"/>
  <c r="L22" i="1"/>
  <c r="M20" i="1" s="1"/>
  <c r="L23" i="1"/>
  <c r="M21" i="1" s="1"/>
  <c r="L24" i="1"/>
  <c r="M22" i="1" s="1"/>
  <c r="L25" i="1"/>
  <c r="M23" i="1" s="1"/>
  <c r="L26" i="1"/>
  <c r="M24" i="1" s="1"/>
  <c r="L27" i="1"/>
  <c r="M25" i="1" s="1"/>
  <c r="L28" i="1"/>
  <c r="L29" i="1"/>
  <c r="L30" i="1"/>
  <c r="L31" i="1"/>
  <c r="L32" i="1"/>
  <c r="L33" i="1"/>
  <c r="L34" i="1"/>
  <c r="L35" i="1"/>
  <c r="M33" i="1" s="1"/>
  <c r="L36" i="1"/>
  <c r="M34" i="1" s="1"/>
  <c r="L37" i="1"/>
  <c r="M35" i="1" s="1"/>
  <c r="L38" i="1"/>
  <c r="M36" i="1" s="1"/>
  <c r="L39" i="1"/>
  <c r="M37" i="1" s="1"/>
  <c r="L40" i="1"/>
  <c r="L41" i="1"/>
  <c r="L42" i="1"/>
  <c r="L43" i="1"/>
  <c r="L44" i="1"/>
  <c r="L45" i="1"/>
  <c r="L46" i="1"/>
  <c r="L47" i="1"/>
  <c r="M45" i="1" s="1"/>
  <c r="L48" i="1"/>
  <c r="M46" i="1" s="1"/>
  <c r="L3" i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3" i="1"/>
  <c r="AD3" i="1"/>
  <c r="AD4" i="1"/>
  <c r="AD5" i="1"/>
  <c r="AD6" i="1"/>
  <c r="AD7" i="1"/>
  <c r="AD8" i="1"/>
  <c r="AD11" i="1"/>
  <c r="AD15" i="1"/>
  <c r="AD16" i="1"/>
  <c r="AD17" i="1"/>
  <c r="AD18" i="1"/>
  <c r="AD19" i="1"/>
  <c r="AD20" i="1"/>
  <c r="AD23" i="1"/>
  <c r="AD27" i="1"/>
  <c r="AD28" i="1"/>
  <c r="AD29" i="1"/>
  <c r="AD30" i="1"/>
  <c r="AD31" i="1"/>
  <c r="AD32" i="1"/>
  <c r="AD35" i="1"/>
  <c r="AD39" i="1"/>
  <c r="AD40" i="1"/>
  <c r="AD41" i="1"/>
  <c r="AD42" i="1"/>
  <c r="AD43" i="1"/>
  <c r="AD44" i="1"/>
  <c r="AD47" i="1"/>
  <c r="AD51" i="1"/>
  <c r="AD52" i="1"/>
  <c r="AD53" i="1"/>
  <c r="AD54" i="1"/>
  <c r="AD55" i="1"/>
  <c r="AD56" i="1"/>
  <c r="AD59" i="1"/>
  <c r="AD63" i="1"/>
  <c r="AD64" i="1"/>
  <c r="AD65" i="1"/>
  <c r="AD66" i="1"/>
  <c r="AD67" i="1"/>
  <c r="AD68" i="1"/>
  <c r="AD71" i="1"/>
  <c r="AD75" i="1"/>
  <c r="AD76" i="1"/>
  <c r="AD77" i="1"/>
  <c r="AD78" i="1"/>
  <c r="AD79" i="1"/>
  <c r="AD80" i="1"/>
  <c r="AD83" i="1"/>
  <c r="AD87" i="1"/>
  <c r="AD88" i="1"/>
  <c r="AD89" i="1"/>
  <c r="AD90" i="1"/>
  <c r="AD91" i="1"/>
  <c r="AD92" i="1"/>
  <c r="S34" i="1"/>
  <c r="S38" i="1"/>
  <c r="S39" i="1"/>
  <c r="S40" i="1"/>
  <c r="S41" i="1"/>
  <c r="S42" i="1"/>
  <c r="S43" i="1"/>
  <c r="S44" i="1"/>
  <c r="S46" i="1"/>
  <c r="S50" i="1"/>
  <c r="S51" i="1"/>
  <c r="S52" i="1"/>
  <c r="S53" i="1"/>
  <c r="S54" i="1"/>
  <c r="S55" i="1"/>
  <c r="S56" i="1"/>
  <c r="S58" i="1"/>
  <c r="S63" i="1"/>
  <c r="S64" i="1"/>
  <c r="S65" i="1"/>
  <c r="S66" i="1"/>
  <c r="S67" i="1"/>
  <c r="S68" i="1"/>
  <c r="S70" i="1"/>
  <c r="S75" i="1"/>
  <c r="S76" i="1"/>
  <c r="S77" i="1"/>
  <c r="S78" i="1"/>
  <c r="S79" i="1"/>
  <c r="S80" i="1"/>
  <c r="S82" i="1"/>
  <c r="S86" i="1"/>
  <c r="S87" i="1"/>
  <c r="S88" i="1"/>
  <c r="S89" i="1"/>
  <c r="S90" i="1"/>
  <c r="S91" i="1"/>
  <c r="S92" i="1"/>
  <c r="S15" i="1"/>
  <c r="S16" i="1"/>
  <c r="S17" i="1"/>
  <c r="S18" i="1"/>
  <c r="S19" i="1"/>
  <c r="S20" i="1"/>
  <c r="S27" i="1"/>
  <c r="S28" i="1"/>
  <c r="S29" i="1"/>
  <c r="S30" i="1"/>
  <c r="S31" i="1"/>
  <c r="S32" i="1"/>
  <c r="S3" i="1"/>
  <c r="S4" i="1"/>
  <c r="S5" i="1"/>
  <c r="S6" i="1"/>
  <c r="S7" i="1"/>
  <c r="S8" i="1"/>
  <c r="S11" i="1"/>
  <c r="S12" i="1"/>
  <c r="S13" i="1"/>
  <c r="M15" i="1"/>
  <c r="M16" i="1"/>
  <c r="M17" i="1"/>
  <c r="M18" i="1"/>
  <c r="M27" i="1"/>
  <c r="M28" i="1"/>
  <c r="M29" i="1"/>
  <c r="M30" i="1"/>
  <c r="M31" i="1"/>
  <c r="M32" i="1"/>
  <c r="M39" i="1"/>
  <c r="M40" i="1"/>
  <c r="M41" i="1"/>
  <c r="M42" i="1"/>
  <c r="M43" i="1"/>
  <c r="M44" i="1"/>
  <c r="M47" i="1"/>
  <c r="M48" i="1"/>
  <c r="M49" i="1"/>
  <c r="M50" i="1"/>
  <c r="M51" i="1"/>
  <c r="M52" i="1"/>
  <c r="M53" i="1"/>
  <c r="M60" i="1"/>
  <c r="M61" i="1"/>
  <c r="M62" i="1"/>
  <c r="M63" i="1"/>
  <c r="M64" i="1"/>
  <c r="M65" i="1"/>
  <c r="M66" i="1"/>
  <c r="M74" i="1"/>
  <c r="M75" i="1"/>
  <c r="M76" i="1"/>
  <c r="M77" i="1"/>
  <c r="M78" i="1"/>
  <c r="M86" i="1"/>
  <c r="M87" i="1"/>
  <c r="M88" i="1"/>
  <c r="M89" i="1"/>
  <c r="M90" i="1"/>
  <c r="M91" i="1"/>
  <c r="M92" i="1"/>
  <c r="M3" i="1"/>
  <c r="M4" i="1"/>
  <c r="M5" i="1"/>
  <c r="M6" i="1"/>
  <c r="M7" i="1"/>
  <c r="M8" i="1"/>
  <c r="M9" i="1"/>
  <c r="M10" i="1"/>
  <c r="AD93" i="1"/>
  <c r="AD94" i="1"/>
  <c r="AD95" i="1"/>
  <c r="AD96" i="1"/>
  <c r="AD97" i="1"/>
  <c r="AD98" i="1"/>
  <c r="AD99" i="1"/>
  <c r="AD100" i="1"/>
  <c r="AD101" i="1"/>
  <c r="AD102" i="1"/>
  <c r="AD103" i="1"/>
  <c r="AD104" i="1"/>
  <c r="AD105" i="1"/>
  <c r="AD106" i="1"/>
  <c r="AD107" i="1"/>
  <c r="AD108" i="1"/>
  <c r="AD109" i="1"/>
  <c r="AD110" i="1"/>
  <c r="AD111" i="1"/>
  <c r="AD112" i="1"/>
  <c r="AD113" i="1"/>
  <c r="AD114" i="1"/>
  <c r="AD115" i="1"/>
  <c r="AD116" i="1"/>
  <c r="AD117" i="1"/>
  <c r="AD118" i="1"/>
  <c r="AD119" i="1"/>
  <c r="AD120" i="1"/>
  <c r="AD121" i="1"/>
  <c r="AD122" i="1"/>
  <c r="AD123" i="1"/>
  <c r="AD124" i="1"/>
  <c r="AD125" i="1"/>
  <c r="AD126" i="1"/>
  <c r="AD127" i="1"/>
  <c r="AD128" i="1"/>
  <c r="AD129" i="1"/>
  <c r="AD130" i="1"/>
  <c r="AD131" i="1"/>
  <c r="AD132" i="1"/>
  <c r="AD133" i="1"/>
  <c r="AD134" i="1"/>
  <c r="AD135" i="1"/>
  <c r="AD136" i="1"/>
  <c r="AD137" i="1"/>
  <c r="AD138" i="1"/>
  <c r="AD139" i="1"/>
  <c r="AD140" i="1"/>
  <c r="AD141" i="1"/>
  <c r="AD142" i="1"/>
  <c r="AD143" i="1"/>
  <c r="AD144" i="1"/>
  <c r="AD145" i="1"/>
  <c r="AD146" i="1"/>
  <c r="AD147" i="1"/>
  <c r="AD148" i="1"/>
  <c r="AD149" i="1"/>
  <c r="AD150" i="1"/>
  <c r="AD151" i="1"/>
  <c r="AD152" i="1"/>
  <c r="AD153" i="1"/>
  <c r="AD154" i="1"/>
  <c r="AD155" i="1"/>
  <c r="AD156" i="1"/>
  <c r="AD157" i="1"/>
  <c r="AD158" i="1"/>
  <c r="AD159" i="1"/>
  <c r="AD160" i="1"/>
  <c r="AD161" i="1"/>
  <c r="AD162" i="1"/>
  <c r="AD163" i="1"/>
  <c r="AD164" i="1"/>
  <c r="AD165" i="1"/>
  <c r="AD166" i="1"/>
  <c r="AD167" i="1"/>
  <c r="AD168" i="1"/>
  <c r="AD169" i="1"/>
  <c r="AD170" i="1"/>
  <c r="AD171" i="1"/>
  <c r="AD172" i="1"/>
  <c r="AD173" i="1"/>
  <c r="AD174" i="1"/>
  <c r="AD175" i="1"/>
  <c r="AD176" i="1"/>
  <c r="AD177" i="1"/>
  <c r="AD178" i="1"/>
  <c r="AD179" i="1"/>
  <c r="AD180" i="1"/>
  <c r="AD181" i="1"/>
  <c r="AD182" i="1"/>
  <c r="AD183" i="1"/>
  <c r="AD184" i="1"/>
  <c r="AD185" i="1"/>
  <c r="AD186" i="1"/>
  <c r="AD187" i="1"/>
  <c r="AD188" i="1"/>
  <c r="AD189" i="1"/>
  <c r="AD190" i="1"/>
  <c r="AD191" i="1"/>
  <c r="AD192" i="1"/>
  <c r="AD193" i="1"/>
  <c r="AD194" i="1"/>
  <c r="AD195" i="1"/>
  <c r="AD196" i="1"/>
  <c r="AD197" i="1"/>
  <c r="AD198" i="1"/>
  <c r="AD199" i="1"/>
  <c r="AD200" i="1"/>
  <c r="AD201" i="1"/>
  <c r="AD202" i="1"/>
  <c r="AD203" i="1"/>
  <c r="AD204" i="1"/>
  <c r="AD205" i="1"/>
  <c r="AD206" i="1"/>
  <c r="AD207" i="1"/>
  <c r="AD208" i="1"/>
  <c r="AD209" i="1"/>
  <c r="AD210" i="1"/>
  <c r="AD211" i="1"/>
  <c r="AD212" i="1"/>
  <c r="AD213" i="1"/>
  <c r="AD214" i="1"/>
  <c r="AD215" i="1"/>
  <c r="AD216" i="1"/>
  <c r="AD217" i="1"/>
  <c r="AD218" i="1"/>
  <c r="AD219" i="1"/>
  <c r="AD220" i="1"/>
  <c r="AD221" i="1"/>
  <c r="AD222" i="1"/>
  <c r="AD223" i="1"/>
  <c r="AD224" i="1"/>
  <c r="AD225" i="1"/>
  <c r="AD226" i="1"/>
  <c r="AD227" i="1"/>
  <c r="AD228" i="1"/>
  <c r="AD229" i="1"/>
  <c r="AD230" i="1"/>
  <c r="AD231" i="1"/>
  <c r="AD232" i="1"/>
  <c r="AD233" i="1"/>
  <c r="AD234" i="1"/>
  <c r="AD235" i="1"/>
  <c r="AD236" i="1"/>
  <c r="AD237" i="1"/>
  <c r="AD238" i="1"/>
  <c r="AD239" i="1"/>
  <c r="AD240" i="1"/>
  <c r="AD241" i="1"/>
  <c r="AD242" i="1"/>
  <c r="AD243" i="1"/>
  <c r="AD244" i="1"/>
  <c r="AD245" i="1"/>
  <c r="AD246" i="1"/>
  <c r="AD247" i="1"/>
  <c r="AD248" i="1"/>
  <c r="AD249" i="1"/>
  <c r="AD250" i="1"/>
  <c r="AD251" i="1"/>
  <c r="AD252" i="1"/>
  <c r="AD253" i="1"/>
  <c r="AD254" i="1"/>
  <c r="AD255" i="1"/>
  <c r="AD256" i="1"/>
  <c r="AD257" i="1"/>
  <c r="AD258" i="1"/>
  <c r="AD259" i="1"/>
  <c r="AD260" i="1"/>
  <c r="AD261" i="1"/>
  <c r="AD262" i="1"/>
  <c r="AD263" i="1"/>
  <c r="AD264" i="1"/>
  <c r="AD265" i="1"/>
  <c r="AD266" i="1"/>
  <c r="AD267" i="1"/>
  <c r="AD268" i="1"/>
  <c r="AD269" i="1"/>
  <c r="AD270" i="1"/>
  <c r="AD271" i="1"/>
  <c r="AD272" i="1"/>
  <c r="G2" i="1"/>
  <c r="S113" i="1"/>
  <c r="S161" i="1"/>
  <c r="X273" i="1"/>
  <c r="R273" i="1"/>
  <c r="L273" i="1"/>
  <c r="F273" i="1"/>
  <c r="X272" i="1"/>
  <c r="R272" i="1"/>
  <c r="L272" i="1"/>
  <c r="F272" i="1"/>
  <c r="X271" i="1"/>
  <c r="R271" i="1"/>
  <c r="L271" i="1"/>
  <c r="F271" i="1"/>
  <c r="X270" i="1"/>
  <c r="R270" i="1"/>
  <c r="L270" i="1"/>
  <c r="F270" i="1"/>
  <c r="X269" i="1"/>
  <c r="R269" i="1"/>
  <c r="L269" i="1"/>
  <c r="F269" i="1"/>
  <c r="X268" i="1"/>
  <c r="R268" i="1"/>
  <c r="L268" i="1"/>
  <c r="F268" i="1"/>
  <c r="X267" i="1"/>
  <c r="R267" i="1"/>
  <c r="L267" i="1"/>
  <c r="F267" i="1"/>
  <c r="X266" i="1"/>
  <c r="R266" i="1"/>
  <c r="L266" i="1"/>
  <c r="F266" i="1"/>
  <c r="X265" i="1"/>
  <c r="R265" i="1"/>
  <c r="L265" i="1"/>
  <c r="F265" i="1"/>
  <c r="X264" i="1"/>
  <c r="R264" i="1"/>
  <c r="L264" i="1"/>
  <c r="F264" i="1"/>
  <c r="X263" i="1"/>
  <c r="R263" i="1"/>
  <c r="L263" i="1"/>
  <c r="F263" i="1"/>
  <c r="X262" i="1"/>
  <c r="R262" i="1"/>
  <c r="L262" i="1"/>
  <c r="F262" i="1"/>
  <c r="X261" i="1"/>
  <c r="R261" i="1"/>
  <c r="L261" i="1"/>
  <c r="F261" i="1"/>
  <c r="X260" i="1"/>
  <c r="R260" i="1"/>
  <c r="L260" i="1"/>
  <c r="F260" i="1"/>
  <c r="X259" i="1"/>
  <c r="R259" i="1"/>
  <c r="L259" i="1"/>
  <c r="F259" i="1"/>
  <c r="X258" i="1"/>
  <c r="R258" i="1"/>
  <c r="L258" i="1"/>
  <c r="F258" i="1"/>
  <c r="X257" i="1"/>
  <c r="R257" i="1"/>
  <c r="L257" i="1"/>
  <c r="F257" i="1"/>
  <c r="X256" i="1"/>
  <c r="R256" i="1"/>
  <c r="L256" i="1"/>
  <c r="F256" i="1"/>
  <c r="X255" i="1"/>
  <c r="R255" i="1"/>
  <c r="L255" i="1"/>
  <c r="F255" i="1"/>
  <c r="X254" i="1"/>
  <c r="R254" i="1"/>
  <c r="L254" i="1"/>
  <c r="F254" i="1"/>
  <c r="X253" i="1"/>
  <c r="R253" i="1"/>
  <c r="L253" i="1"/>
  <c r="F253" i="1"/>
  <c r="X252" i="1"/>
  <c r="R252" i="1"/>
  <c r="L252" i="1"/>
  <c r="F252" i="1"/>
  <c r="X251" i="1"/>
  <c r="R251" i="1"/>
  <c r="L251" i="1"/>
  <c r="F251" i="1"/>
  <c r="X250" i="1"/>
  <c r="R250" i="1"/>
  <c r="L250" i="1"/>
  <c r="F250" i="1"/>
  <c r="X249" i="1"/>
  <c r="R249" i="1"/>
  <c r="L249" i="1"/>
  <c r="F249" i="1"/>
  <c r="X248" i="1"/>
  <c r="R248" i="1"/>
  <c r="L248" i="1"/>
  <c r="F248" i="1"/>
  <c r="X247" i="1"/>
  <c r="R247" i="1"/>
  <c r="L247" i="1"/>
  <c r="F247" i="1"/>
  <c r="X246" i="1"/>
  <c r="R246" i="1"/>
  <c r="L246" i="1"/>
  <c r="F246" i="1"/>
  <c r="X245" i="1"/>
  <c r="R245" i="1"/>
  <c r="L245" i="1"/>
  <c r="F245" i="1"/>
  <c r="X244" i="1"/>
  <c r="R244" i="1"/>
  <c r="L244" i="1"/>
  <c r="F244" i="1"/>
  <c r="X243" i="1"/>
  <c r="R243" i="1"/>
  <c r="L243" i="1"/>
  <c r="F243" i="1"/>
  <c r="X242" i="1"/>
  <c r="R242" i="1"/>
  <c r="L242" i="1"/>
  <c r="F242" i="1"/>
  <c r="X241" i="1"/>
  <c r="R241" i="1"/>
  <c r="L241" i="1"/>
  <c r="F241" i="1"/>
  <c r="X240" i="1"/>
  <c r="R240" i="1"/>
  <c r="L240" i="1"/>
  <c r="F240" i="1"/>
  <c r="X239" i="1"/>
  <c r="R239" i="1"/>
  <c r="L239" i="1"/>
  <c r="F239" i="1"/>
  <c r="X238" i="1"/>
  <c r="R238" i="1"/>
  <c r="L238" i="1"/>
  <c r="F238" i="1"/>
  <c r="X237" i="1"/>
  <c r="R237" i="1"/>
  <c r="L237" i="1"/>
  <c r="F237" i="1"/>
  <c r="X236" i="1"/>
  <c r="R236" i="1"/>
  <c r="L236" i="1"/>
  <c r="F236" i="1"/>
  <c r="X235" i="1"/>
  <c r="R235" i="1"/>
  <c r="L235" i="1"/>
  <c r="F235" i="1"/>
  <c r="X234" i="1"/>
  <c r="R234" i="1"/>
  <c r="L234" i="1"/>
  <c r="F234" i="1"/>
  <c r="X233" i="1"/>
  <c r="R233" i="1"/>
  <c r="L233" i="1"/>
  <c r="F233" i="1"/>
  <c r="X232" i="1"/>
  <c r="R232" i="1"/>
  <c r="L232" i="1"/>
  <c r="F232" i="1"/>
  <c r="X231" i="1"/>
  <c r="R231" i="1"/>
  <c r="L231" i="1"/>
  <c r="F231" i="1"/>
  <c r="X230" i="1"/>
  <c r="R230" i="1"/>
  <c r="L230" i="1"/>
  <c r="F230" i="1"/>
  <c r="X229" i="1"/>
  <c r="R229" i="1"/>
  <c r="L229" i="1"/>
  <c r="F229" i="1"/>
  <c r="X228" i="1"/>
  <c r="R228" i="1"/>
  <c r="L228" i="1"/>
  <c r="F228" i="1"/>
  <c r="X227" i="1"/>
  <c r="R227" i="1"/>
  <c r="L227" i="1"/>
  <c r="F227" i="1"/>
  <c r="X226" i="1"/>
  <c r="R226" i="1"/>
  <c r="L226" i="1"/>
  <c r="F226" i="1"/>
  <c r="X225" i="1"/>
  <c r="R225" i="1"/>
  <c r="L225" i="1"/>
  <c r="F225" i="1"/>
  <c r="X224" i="1"/>
  <c r="R224" i="1"/>
  <c r="L224" i="1"/>
  <c r="F224" i="1"/>
  <c r="X223" i="1"/>
  <c r="R223" i="1"/>
  <c r="L223" i="1"/>
  <c r="F223" i="1"/>
  <c r="X222" i="1"/>
  <c r="R222" i="1"/>
  <c r="L222" i="1"/>
  <c r="F222" i="1"/>
  <c r="X221" i="1"/>
  <c r="R221" i="1"/>
  <c r="L221" i="1"/>
  <c r="F221" i="1"/>
  <c r="X220" i="1"/>
  <c r="R220" i="1"/>
  <c r="L220" i="1"/>
  <c r="F220" i="1"/>
  <c r="X219" i="1"/>
  <c r="R219" i="1"/>
  <c r="L219" i="1"/>
  <c r="F219" i="1"/>
  <c r="X218" i="1"/>
  <c r="R218" i="1"/>
  <c r="L218" i="1"/>
  <c r="F218" i="1"/>
  <c r="X217" i="1"/>
  <c r="R217" i="1"/>
  <c r="L217" i="1"/>
  <c r="F217" i="1"/>
  <c r="X216" i="1"/>
  <c r="R216" i="1"/>
  <c r="L216" i="1"/>
  <c r="F216" i="1"/>
  <c r="X215" i="1"/>
  <c r="R215" i="1"/>
  <c r="L215" i="1"/>
  <c r="F215" i="1"/>
  <c r="X214" i="1"/>
  <c r="R214" i="1"/>
  <c r="L214" i="1"/>
  <c r="F214" i="1"/>
  <c r="X213" i="1"/>
  <c r="R213" i="1"/>
  <c r="L213" i="1"/>
  <c r="F213" i="1"/>
  <c r="X212" i="1"/>
  <c r="R212" i="1"/>
  <c r="L212" i="1"/>
  <c r="F212" i="1"/>
  <c r="X211" i="1"/>
  <c r="R211" i="1"/>
  <c r="L211" i="1"/>
  <c r="F211" i="1"/>
  <c r="X210" i="1"/>
  <c r="R210" i="1"/>
  <c r="L210" i="1"/>
  <c r="F210" i="1"/>
  <c r="X209" i="1"/>
  <c r="R209" i="1"/>
  <c r="L209" i="1"/>
  <c r="F209" i="1"/>
  <c r="X208" i="1"/>
  <c r="R208" i="1"/>
  <c r="L208" i="1"/>
  <c r="F208" i="1"/>
  <c r="X207" i="1"/>
  <c r="R207" i="1"/>
  <c r="L207" i="1"/>
  <c r="F207" i="1"/>
  <c r="X206" i="1"/>
  <c r="R206" i="1"/>
  <c r="L206" i="1"/>
  <c r="F206" i="1"/>
  <c r="X205" i="1"/>
  <c r="R205" i="1"/>
  <c r="L205" i="1"/>
  <c r="F205" i="1"/>
  <c r="X204" i="1"/>
  <c r="R204" i="1"/>
  <c r="L204" i="1"/>
  <c r="F204" i="1"/>
  <c r="X203" i="1"/>
  <c r="R203" i="1"/>
  <c r="L203" i="1"/>
  <c r="F203" i="1"/>
  <c r="X202" i="1"/>
  <c r="R202" i="1"/>
  <c r="L202" i="1"/>
  <c r="F202" i="1"/>
  <c r="X201" i="1"/>
  <c r="R201" i="1"/>
  <c r="L201" i="1"/>
  <c r="F201" i="1"/>
  <c r="X200" i="1"/>
  <c r="R200" i="1"/>
  <c r="L200" i="1"/>
  <c r="F200" i="1"/>
  <c r="X199" i="1"/>
  <c r="R199" i="1"/>
  <c r="L199" i="1"/>
  <c r="F199" i="1"/>
  <c r="X198" i="1"/>
  <c r="R198" i="1"/>
  <c r="L198" i="1"/>
  <c r="F198" i="1"/>
  <c r="X197" i="1"/>
  <c r="R197" i="1"/>
  <c r="L197" i="1"/>
  <c r="F197" i="1"/>
  <c r="X196" i="1"/>
  <c r="R196" i="1"/>
  <c r="L196" i="1"/>
  <c r="F196" i="1"/>
  <c r="X195" i="1"/>
  <c r="R195" i="1"/>
  <c r="L195" i="1"/>
  <c r="F195" i="1"/>
  <c r="X194" i="1"/>
  <c r="R194" i="1"/>
  <c r="L194" i="1"/>
  <c r="F194" i="1"/>
  <c r="X193" i="1"/>
  <c r="R193" i="1"/>
  <c r="L193" i="1"/>
  <c r="F193" i="1"/>
  <c r="X192" i="1"/>
  <c r="R192" i="1"/>
  <c r="L192" i="1"/>
  <c r="F192" i="1"/>
  <c r="X191" i="1"/>
  <c r="R191" i="1"/>
  <c r="L191" i="1"/>
  <c r="F191" i="1"/>
  <c r="X190" i="1"/>
  <c r="R190" i="1"/>
  <c r="L190" i="1"/>
  <c r="F190" i="1"/>
  <c r="X189" i="1"/>
  <c r="R189" i="1"/>
  <c r="L189" i="1"/>
  <c r="F189" i="1"/>
  <c r="X188" i="1"/>
  <c r="R188" i="1"/>
  <c r="L188" i="1"/>
  <c r="F188" i="1"/>
  <c r="X187" i="1"/>
  <c r="R187" i="1"/>
  <c r="L187" i="1"/>
  <c r="F187" i="1"/>
  <c r="X186" i="1"/>
  <c r="R186" i="1"/>
  <c r="L186" i="1"/>
  <c r="F186" i="1"/>
  <c r="X185" i="1"/>
  <c r="R185" i="1"/>
  <c r="L185" i="1"/>
  <c r="F185" i="1"/>
  <c r="X184" i="1"/>
  <c r="R184" i="1"/>
  <c r="L184" i="1"/>
  <c r="F184" i="1"/>
  <c r="X183" i="1"/>
  <c r="R183" i="1"/>
  <c r="L183" i="1"/>
  <c r="F183" i="1"/>
  <c r="X182" i="1"/>
  <c r="R182" i="1"/>
  <c r="L182" i="1"/>
  <c r="F182" i="1"/>
  <c r="X181" i="1"/>
  <c r="R181" i="1"/>
  <c r="L181" i="1"/>
  <c r="F181" i="1"/>
  <c r="X180" i="1"/>
  <c r="R180" i="1"/>
  <c r="L180" i="1"/>
  <c r="F180" i="1"/>
  <c r="X179" i="1"/>
  <c r="R179" i="1"/>
  <c r="L179" i="1"/>
  <c r="F179" i="1"/>
  <c r="X178" i="1"/>
  <c r="R178" i="1"/>
  <c r="L178" i="1"/>
  <c r="F178" i="1"/>
  <c r="X177" i="1"/>
  <c r="R177" i="1"/>
  <c r="L177" i="1"/>
  <c r="F177" i="1"/>
  <c r="X176" i="1"/>
  <c r="R176" i="1"/>
  <c r="L176" i="1"/>
  <c r="F176" i="1"/>
  <c r="X175" i="1"/>
  <c r="R175" i="1"/>
  <c r="L175" i="1"/>
  <c r="F175" i="1"/>
  <c r="X174" i="1"/>
  <c r="R174" i="1"/>
  <c r="L174" i="1"/>
  <c r="F174" i="1"/>
  <c r="X173" i="1"/>
  <c r="R173" i="1"/>
  <c r="L173" i="1"/>
  <c r="F173" i="1"/>
  <c r="X172" i="1"/>
  <c r="R172" i="1"/>
  <c r="L172" i="1"/>
  <c r="M170" i="1" s="1"/>
  <c r="F172" i="1"/>
  <c r="X171" i="1"/>
  <c r="R171" i="1"/>
  <c r="L171" i="1"/>
  <c r="F171" i="1"/>
  <c r="X170" i="1"/>
  <c r="R170" i="1"/>
  <c r="L170" i="1"/>
  <c r="F170" i="1"/>
  <c r="X169" i="1"/>
  <c r="R169" i="1"/>
  <c r="L169" i="1"/>
  <c r="M167" i="1" s="1"/>
  <c r="F169" i="1"/>
  <c r="X168" i="1"/>
  <c r="R168" i="1"/>
  <c r="L168" i="1"/>
  <c r="F168" i="1"/>
  <c r="X167" i="1"/>
  <c r="R167" i="1"/>
  <c r="L167" i="1"/>
  <c r="F167" i="1"/>
  <c r="X166" i="1"/>
  <c r="R166" i="1"/>
  <c r="L166" i="1"/>
  <c r="M164" i="1" s="1"/>
  <c r="F166" i="1"/>
  <c r="X165" i="1"/>
  <c r="R165" i="1"/>
  <c r="L165" i="1"/>
  <c r="F165" i="1"/>
  <c r="X164" i="1"/>
  <c r="R164" i="1"/>
  <c r="S162" i="1" s="1"/>
  <c r="L164" i="1"/>
  <c r="F164" i="1"/>
  <c r="X163" i="1"/>
  <c r="R163" i="1"/>
  <c r="L163" i="1"/>
  <c r="M161" i="1" s="1"/>
  <c r="F163" i="1"/>
  <c r="X162" i="1"/>
  <c r="R162" i="1"/>
  <c r="L162" i="1"/>
  <c r="F162" i="1"/>
  <c r="X161" i="1"/>
  <c r="R161" i="1"/>
  <c r="S160" i="1" s="1"/>
  <c r="L161" i="1"/>
  <c r="F161" i="1"/>
  <c r="X160" i="1"/>
  <c r="R160" i="1"/>
  <c r="L160" i="1"/>
  <c r="M158" i="1" s="1"/>
  <c r="F160" i="1"/>
  <c r="X159" i="1"/>
  <c r="R159" i="1"/>
  <c r="L159" i="1"/>
  <c r="F159" i="1"/>
  <c r="X158" i="1"/>
  <c r="R158" i="1"/>
  <c r="L158" i="1"/>
  <c r="F158" i="1"/>
  <c r="X157" i="1"/>
  <c r="R157" i="1"/>
  <c r="L157" i="1"/>
  <c r="M155" i="1" s="1"/>
  <c r="F157" i="1"/>
  <c r="X156" i="1"/>
  <c r="R156" i="1"/>
  <c r="L156" i="1"/>
  <c r="F156" i="1"/>
  <c r="X155" i="1"/>
  <c r="R155" i="1"/>
  <c r="L155" i="1"/>
  <c r="F155" i="1"/>
  <c r="X154" i="1"/>
  <c r="R154" i="1"/>
  <c r="L154" i="1"/>
  <c r="M152" i="1" s="1"/>
  <c r="F154" i="1"/>
  <c r="X153" i="1"/>
  <c r="R153" i="1"/>
  <c r="L153" i="1"/>
  <c r="F153" i="1"/>
  <c r="X152" i="1"/>
  <c r="R152" i="1"/>
  <c r="S150" i="1" s="1"/>
  <c r="L152" i="1"/>
  <c r="F152" i="1"/>
  <c r="X151" i="1"/>
  <c r="R151" i="1"/>
  <c r="L151" i="1"/>
  <c r="M149" i="1" s="1"/>
  <c r="F151" i="1"/>
  <c r="X150" i="1"/>
  <c r="R150" i="1"/>
  <c r="S148" i="1" s="1"/>
  <c r="L150" i="1"/>
  <c r="F150" i="1"/>
  <c r="X149" i="1"/>
  <c r="R149" i="1"/>
  <c r="L149" i="1"/>
  <c r="F149" i="1"/>
  <c r="X148" i="1"/>
  <c r="R148" i="1"/>
  <c r="L148" i="1"/>
  <c r="M146" i="1" s="1"/>
  <c r="F148" i="1"/>
  <c r="X147" i="1"/>
  <c r="R147" i="1"/>
  <c r="L147" i="1"/>
  <c r="F147" i="1"/>
  <c r="X146" i="1"/>
  <c r="R146" i="1"/>
  <c r="L146" i="1"/>
  <c r="F146" i="1"/>
  <c r="X145" i="1"/>
  <c r="R145" i="1"/>
  <c r="L145" i="1"/>
  <c r="M143" i="1" s="1"/>
  <c r="F145" i="1"/>
  <c r="X144" i="1"/>
  <c r="R144" i="1"/>
  <c r="L144" i="1"/>
  <c r="F144" i="1"/>
  <c r="X143" i="1"/>
  <c r="R143" i="1"/>
  <c r="L143" i="1"/>
  <c r="F143" i="1"/>
  <c r="X142" i="1"/>
  <c r="R142" i="1"/>
  <c r="L142" i="1"/>
  <c r="M140" i="1" s="1"/>
  <c r="F142" i="1"/>
  <c r="X141" i="1"/>
  <c r="R141" i="1"/>
  <c r="L141" i="1"/>
  <c r="F141" i="1"/>
  <c r="X140" i="1"/>
  <c r="R140" i="1"/>
  <c r="S138" i="1" s="1"/>
  <c r="L140" i="1"/>
  <c r="F140" i="1"/>
  <c r="X139" i="1"/>
  <c r="R139" i="1"/>
  <c r="L139" i="1"/>
  <c r="M137" i="1" s="1"/>
  <c r="F139" i="1"/>
  <c r="X138" i="1"/>
  <c r="R138" i="1"/>
  <c r="S136" i="1" s="1"/>
  <c r="L138" i="1"/>
  <c r="F138" i="1"/>
  <c r="X137" i="1"/>
  <c r="R137" i="1"/>
  <c r="L137" i="1"/>
  <c r="F137" i="1"/>
  <c r="X136" i="1"/>
  <c r="R136" i="1"/>
  <c r="L136" i="1"/>
  <c r="M134" i="1" s="1"/>
  <c r="F136" i="1"/>
  <c r="X135" i="1"/>
  <c r="R135" i="1"/>
  <c r="L135" i="1"/>
  <c r="F135" i="1"/>
  <c r="X134" i="1"/>
  <c r="R134" i="1"/>
  <c r="L134" i="1"/>
  <c r="F134" i="1"/>
  <c r="X133" i="1"/>
  <c r="R133" i="1"/>
  <c r="L133" i="1"/>
  <c r="M131" i="1" s="1"/>
  <c r="F133" i="1"/>
  <c r="X132" i="1"/>
  <c r="R132" i="1"/>
  <c r="L132" i="1"/>
  <c r="F132" i="1"/>
  <c r="X131" i="1"/>
  <c r="R131" i="1"/>
  <c r="L131" i="1"/>
  <c r="F131" i="1"/>
  <c r="X130" i="1"/>
  <c r="R130" i="1"/>
  <c r="L130" i="1"/>
  <c r="M128" i="1" s="1"/>
  <c r="F130" i="1"/>
  <c r="X129" i="1"/>
  <c r="R129" i="1"/>
  <c r="L129" i="1"/>
  <c r="F129" i="1"/>
  <c r="X128" i="1"/>
  <c r="R128" i="1"/>
  <c r="S126" i="1" s="1"/>
  <c r="L128" i="1"/>
  <c r="F128" i="1"/>
  <c r="X127" i="1"/>
  <c r="R127" i="1"/>
  <c r="L127" i="1"/>
  <c r="M125" i="1" s="1"/>
  <c r="F127" i="1"/>
  <c r="X126" i="1"/>
  <c r="R126" i="1"/>
  <c r="S124" i="1" s="1"/>
  <c r="L126" i="1"/>
  <c r="F126" i="1"/>
  <c r="X125" i="1"/>
  <c r="R125" i="1"/>
  <c r="L125" i="1"/>
  <c r="F125" i="1"/>
  <c r="X124" i="1"/>
  <c r="R124" i="1"/>
  <c r="L124" i="1"/>
  <c r="M122" i="1" s="1"/>
  <c r="F124" i="1"/>
  <c r="X123" i="1"/>
  <c r="R123" i="1"/>
  <c r="L123" i="1"/>
  <c r="F123" i="1"/>
  <c r="X122" i="1"/>
  <c r="R122" i="1"/>
  <c r="L122" i="1"/>
  <c r="F122" i="1"/>
  <c r="X121" i="1"/>
  <c r="R121" i="1"/>
  <c r="L121" i="1"/>
  <c r="M119" i="1" s="1"/>
  <c r="F121" i="1"/>
  <c r="X120" i="1"/>
  <c r="R120" i="1"/>
  <c r="L120" i="1"/>
  <c r="F120" i="1"/>
  <c r="X119" i="1"/>
  <c r="R119" i="1"/>
  <c r="L119" i="1"/>
  <c r="F119" i="1"/>
  <c r="X118" i="1"/>
  <c r="R118" i="1"/>
  <c r="L118" i="1"/>
  <c r="M116" i="1" s="1"/>
  <c r="F118" i="1"/>
  <c r="X117" i="1"/>
  <c r="R117" i="1"/>
  <c r="L117" i="1"/>
  <c r="F117" i="1"/>
  <c r="X116" i="1"/>
  <c r="R116" i="1"/>
  <c r="S114" i="1" s="1"/>
  <c r="L116" i="1"/>
  <c r="F116" i="1"/>
  <c r="X115" i="1"/>
  <c r="R115" i="1"/>
  <c r="L115" i="1"/>
  <c r="M113" i="1" s="1"/>
  <c r="F115" i="1"/>
  <c r="X114" i="1"/>
  <c r="R114" i="1"/>
  <c r="L114" i="1"/>
  <c r="F114" i="1"/>
  <c r="X113" i="1"/>
  <c r="R113" i="1"/>
  <c r="S112" i="1" s="1"/>
  <c r="L113" i="1"/>
  <c r="F113" i="1"/>
  <c r="X112" i="1"/>
  <c r="R112" i="1"/>
  <c r="L112" i="1"/>
  <c r="M110" i="1" s="1"/>
  <c r="F112" i="1"/>
  <c r="X111" i="1"/>
  <c r="R111" i="1"/>
  <c r="L111" i="1"/>
  <c r="F111" i="1"/>
  <c r="X110" i="1"/>
  <c r="R110" i="1"/>
  <c r="L110" i="1"/>
  <c r="F110" i="1"/>
  <c r="X109" i="1"/>
  <c r="R109" i="1"/>
  <c r="L109" i="1"/>
  <c r="M107" i="1" s="1"/>
  <c r="F109" i="1"/>
  <c r="X108" i="1"/>
  <c r="R108" i="1"/>
  <c r="L108" i="1"/>
  <c r="F108" i="1"/>
  <c r="X107" i="1"/>
  <c r="R107" i="1"/>
  <c r="L107" i="1"/>
  <c r="F107" i="1"/>
  <c r="X106" i="1"/>
  <c r="R106" i="1"/>
  <c r="L106" i="1"/>
  <c r="M104" i="1" s="1"/>
  <c r="F106" i="1"/>
  <c r="X105" i="1"/>
  <c r="R105" i="1"/>
  <c r="L105" i="1"/>
  <c r="F105" i="1"/>
  <c r="X104" i="1"/>
  <c r="R104" i="1"/>
  <c r="S102" i="1" s="1"/>
  <c r="L104" i="1"/>
  <c r="F104" i="1"/>
  <c r="X103" i="1"/>
  <c r="R103" i="1"/>
  <c r="L103" i="1"/>
  <c r="M101" i="1" s="1"/>
  <c r="F103" i="1"/>
  <c r="X102" i="1"/>
  <c r="R102" i="1"/>
  <c r="S100" i="1" s="1"/>
  <c r="L102" i="1"/>
  <c r="F102" i="1"/>
  <c r="X101" i="1"/>
  <c r="R101" i="1"/>
  <c r="L101" i="1"/>
  <c r="F101" i="1"/>
  <c r="X100" i="1"/>
  <c r="R100" i="1"/>
  <c r="L100" i="1"/>
  <c r="M98" i="1" s="1"/>
  <c r="F100" i="1"/>
  <c r="X99" i="1"/>
  <c r="R99" i="1"/>
  <c r="L99" i="1"/>
  <c r="F99" i="1"/>
  <c r="X98" i="1"/>
  <c r="R98" i="1"/>
  <c r="L98" i="1"/>
  <c r="F98" i="1"/>
  <c r="X97" i="1"/>
  <c r="R97" i="1"/>
  <c r="L97" i="1"/>
  <c r="M95" i="1" s="1"/>
  <c r="F97" i="1"/>
  <c r="X96" i="1"/>
  <c r="R96" i="1"/>
  <c r="L96" i="1"/>
  <c r="F96" i="1"/>
  <c r="X95" i="1"/>
  <c r="R95" i="1"/>
  <c r="L95" i="1"/>
  <c r="F95" i="1"/>
  <c r="X94" i="1"/>
  <c r="R94" i="1"/>
  <c r="L94" i="1"/>
  <c r="F94" i="1"/>
  <c r="X93" i="1"/>
  <c r="R93" i="1"/>
  <c r="L93" i="1"/>
  <c r="F93" i="1"/>
  <c r="A8" i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60" i="1" s="1"/>
  <c r="A61" i="1" s="1"/>
  <c r="A62" i="1" s="1"/>
  <c r="A63" i="1" s="1"/>
  <c r="A64" i="1" s="1"/>
  <c r="A65" i="1" s="1"/>
  <c r="A66" i="1" s="1"/>
  <c r="A67" i="1" s="1"/>
  <c r="A68" i="1" s="1"/>
  <c r="A69" i="1" s="1"/>
  <c r="A70" i="1" s="1"/>
  <c r="A71" i="1" s="1"/>
  <c r="A72" i="1" s="1"/>
  <c r="A73" i="1" s="1"/>
  <c r="A74" i="1" s="1"/>
  <c r="A75" i="1" s="1"/>
  <c r="A76" i="1" s="1"/>
  <c r="A77" i="1" s="1"/>
  <c r="A78" i="1" s="1"/>
  <c r="A79" i="1" s="1"/>
  <c r="A80" i="1" s="1"/>
  <c r="A81" i="1" s="1"/>
  <c r="A82" i="1" s="1"/>
  <c r="A83" i="1" s="1"/>
  <c r="A84" i="1" s="1"/>
  <c r="A85" i="1" s="1"/>
  <c r="A86" i="1" s="1"/>
  <c r="A87" i="1" s="1"/>
  <c r="A88" i="1" s="1"/>
  <c r="A89" i="1" s="1"/>
  <c r="A90" i="1" s="1"/>
  <c r="A91" i="1" s="1"/>
  <c r="A92" i="1" s="1"/>
  <c r="A93" i="1" s="1"/>
  <c r="A94" i="1" s="1"/>
  <c r="A95" i="1" s="1"/>
  <c r="A96" i="1" s="1"/>
  <c r="A97" i="1" s="1"/>
  <c r="A98" i="1" s="1"/>
  <c r="A99" i="1" s="1"/>
  <c r="A100" i="1" s="1"/>
  <c r="A101" i="1" s="1"/>
  <c r="A102" i="1" s="1"/>
  <c r="A103" i="1" s="1"/>
  <c r="A104" i="1" s="1"/>
  <c r="A105" i="1" s="1"/>
  <c r="A106" i="1" s="1"/>
  <c r="A107" i="1" s="1"/>
  <c r="A108" i="1" s="1"/>
  <c r="A109" i="1" s="1"/>
  <c r="A110" i="1" s="1"/>
  <c r="A111" i="1" s="1"/>
  <c r="A112" i="1" s="1"/>
  <c r="A113" i="1" s="1"/>
  <c r="A114" i="1" s="1"/>
  <c r="A115" i="1" s="1"/>
  <c r="A116" i="1" s="1"/>
  <c r="A117" i="1" s="1"/>
  <c r="A118" i="1" s="1"/>
  <c r="A119" i="1" s="1"/>
  <c r="A120" i="1" s="1"/>
  <c r="A121" i="1" s="1"/>
  <c r="A122" i="1" s="1"/>
  <c r="A123" i="1" s="1"/>
  <c r="A124" i="1" s="1"/>
  <c r="A125" i="1" s="1"/>
  <c r="A126" i="1" s="1"/>
  <c r="A127" i="1" s="1"/>
  <c r="A128" i="1" s="1"/>
  <c r="A129" i="1" s="1"/>
  <c r="A130" i="1" s="1"/>
  <c r="A131" i="1" s="1"/>
  <c r="A132" i="1" s="1"/>
  <c r="A133" i="1" s="1"/>
  <c r="A134" i="1" s="1"/>
  <c r="A135" i="1" s="1"/>
  <c r="A136" i="1" s="1"/>
  <c r="A137" i="1" s="1"/>
  <c r="A138" i="1" s="1"/>
  <c r="A139" i="1" s="1"/>
  <c r="A140" i="1" s="1"/>
  <c r="A141" i="1" s="1"/>
  <c r="A142" i="1" s="1"/>
  <c r="A143" i="1" s="1"/>
  <c r="A144" i="1" s="1"/>
  <c r="A145" i="1" s="1"/>
  <c r="A146" i="1" s="1"/>
  <c r="A147" i="1" s="1"/>
  <c r="A148" i="1" s="1"/>
  <c r="A149" i="1" s="1"/>
  <c r="A150" i="1" s="1"/>
  <c r="A151" i="1" s="1"/>
  <c r="A152" i="1" s="1"/>
  <c r="A153" i="1" s="1"/>
  <c r="A154" i="1" s="1"/>
  <c r="A155" i="1" s="1"/>
  <c r="A156" i="1" s="1"/>
  <c r="A157" i="1" s="1"/>
  <c r="A158" i="1" s="1"/>
  <c r="A159" i="1" s="1"/>
  <c r="A160" i="1" s="1"/>
  <c r="A161" i="1" s="1"/>
  <c r="A162" i="1" s="1"/>
  <c r="A163" i="1" s="1"/>
  <c r="A164" i="1" s="1"/>
  <c r="A165" i="1" s="1"/>
  <c r="A166" i="1" s="1"/>
  <c r="A167" i="1" s="1"/>
  <c r="A168" i="1" s="1"/>
  <c r="A169" i="1" s="1"/>
  <c r="A170" i="1" s="1"/>
  <c r="A171" i="1" s="1"/>
  <c r="A172" i="1" s="1"/>
  <c r="A173" i="1" s="1"/>
  <c r="AD2" i="1"/>
  <c r="S2" i="1"/>
  <c r="A4" i="1"/>
  <c r="A5" i="1" s="1"/>
  <c r="A6" i="1" s="1"/>
  <c r="A7" i="1" s="1"/>
  <c r="AD86" i="1" l="1"/>
  <c r="AD74" i="1"/>
  <c r="AD62" i="1"/>
  <c r="AD50" i="1"/>
  <c r="AD38" i="1"/>
  <c r="AD26" i="1"/>
  <c r="AD14" i="1"/>
  <c r="S10" i="1"/>
  <c r="S62" i="1"/>
  <c r="S26" i="1"/>
  <c r="S74" i="1"/>
  <c r="S22" i="1"/>
  <c r="M73" i="1"/>
  <c r="M84" i="1"/>
  <c r="M59" i="1"/>
  <c r="M26" i="1"/>
  <c r="M38" i="1"/>
  <c r="M14" i="1"/>
  <c r="S95" i="1"/>
  <c r="S98" i="1"/>
  <c r="S104" i="1"/>
  <c r="S107" i="1"/>
  <c r="S110" i="1"/>
  <c r="S116" i="1"/>
  <c r="S119" i="1"/>
  <c r="S122" i="1"/>
  <c r="S128" i="1"/>
  <c r="S131" i="1"/>
  <c r="S134" i="1"/>
  <c r="S140" i="1"/>
  <c r="S143" i="1"/>
  <c r="S146" i="1"/>
  <c r="S152" i="1"/>
  <c r="S155" i="1"/>
  <c r="S158" i="1"/>
  <c r="S164" i="1"/>
  <c r="S167" i="1"/>
  <c r="S170" i="1"/>
  <c r="A174" i="1"/>
  <c r="A175" i="1" s="1"/>
  <c r="G171" i="1"/>
  <c r="G99" i="1"/>
  <c r="G135" i="1"/>
  <c r="G138" i="1"/>
  <c r="G147" i="1"/>
  <c r="G150" i="1"/>
  <c r="G159" i="1"/>
  <c r="S149" i="1"/>
  <c r="S101" i="1"/>
  <c r="M99" i="1"/>
  <c r="M102" i="1"/>
  <c r="M105" i="1"/>
  <c r="M111" i="1"/>
  <c r="M114" i="1"/>
  <c r="M120" i="1"/>
  <c r="M123" i="1"/>
  <c r="M126" i="1"/>
  <c r="M144" i="1"/>
  <c r="S93" i="1"/>
  <c r="S96" i="1"/>
  <c r="S99" i="1"/>
  <c r="S105" i="1"/>
  <c r="S108" i="1"/>
  <c r="S111" i="1"/>
  <c r="S117" i="1"/>
  <c r="S120" i="1"/>
  <c r="S123" i="1"/>
  <c r="S129" i="1"/>
  <c r="S132" i="1"/>
  <c r="S135" i="1"/>
  <c r="S141" i="1"/>
  <c r="S144" i="1"/>
  <c r="S147" i="1"/>
  <c r="S153" i="1"/>
  <c r="S156" i="1"/>
  <c r="S159" i="1"/>
  <c r="S165" i="1"/>
  <c r="S168" i="1"/>
  <c r="S171" i="1"/>
  <c r="G123" i="1"/>
  <c r="G114" i="1"/>
  <c r="S137" i="1"/>
  <c r="G97" i="1"/>
  <c r="G100" i="1"/>
  <c r="G115" i="1"/>
  <c r="G121" i="1"/>
  <c r="G136" i="1"/>
  <c r="G140" i="1"/>
  <c r="G139" i="1"/>
  <c r="G151" i="1"/>
  <c r="G157" i="1"/>
  <c r="G172" i="1"/>
  <c r="G111" i="1"/>
  <c r="S94" i="1"/>
  <c r="S97" i="1"/>
  <c r="S103" i="1"/>
  <c r="S106" i="1"/>
  <c r="S109" i="1"/>
  <c r="S115" i="1"/>
  <c r="S118" i="1"/>
  <c r="S121" i="1"/>
  <c r="S127" i="1"/>
  <c r="S130" i="1"/>
  <c r="S133" i="1"/>
  <c r="S139" i="1"/>
  <c r="S142" i="1"/>
  <c r="S145" i="1"/>
  <c r="S151" i="1"/>
  <c r="S154" i="1"/>
  <c r="S157" i="1"/>
  <c r="S163" i="1"/>
  <c r="S166" i="1"/>
  <c r="S169" i="1"/>
  <c r="S125" i="1"/>
  <c r="S172" i="1"/>
  <c r="M2" i="1"/>
  <c r="G98" i="1"/>
  <c r="G101" i="1"/>
  <c r="G137" i="1"/>
  <c r="M173" i="1"/>
  <c r="G102" i="1"/>
  <c r="G126" i="1"/>
  <c r="G162" i="1"/>
  <c r="M130" i="1"/>
  <c r="M135" i="1"/>
  <c r="M138" i="1"/>
  <c r="M145" i="1"/>
  <c r="M147" i="1"/>
  <c r="M150" i="1"/>
  <c r="M159" i="1"/>
  <c r="M162" i="1"/>
  <c r="M165" i="1"/>
  <c r="M169" i="1"/>
  <c r="M171" i="1"/>
  <c r="M129" i="1"/>
  <c r="G94" i="1"/>
  <c r="G95" i="1"/>
  <c r="G109" i="1"/>
  <c r="G110" i="1"/>
  <c r="G130" i="1"/>
  <c r="G131" i="1"/>
  <c r="G167" i="1"/>
  <c r="G166" i="1"/>
  <c r="M100" i="1"/>
  <c r="M103" i="1"/>
  <c r="M112" i="1"/>
  <c r="M115" i="1"/>
  <c r="M124" i="1"/>
  <c r="M127" i="1"/>
  <c r="M136" i="1"/>
  <c r="M139" i="1"/>
  <c r="M148" i="1"/>
  <c r="M151" i="1"/>
  <c r="M160" i="1"/>
  <c r="M163" i="1"/>
  <c r="M172" i="1"/>
  <c r="G122" i="1"/>
  <c r="M166" i="1"/>
  <c r="M94" i="1"/>
  <c r="M93" i="1"/>
  <c r="M133" i="1"/>
  <c r="M132" i="1"/>
  <c r="M141" i="1"/>
  <c r="M142" i="1"/>
  <c r="M156" i="1"/>
  <c r="M157" i="1"/>
  <c r="G103" i="1"/>
  <c r="G104" i="1"/>
  <c r="G107" i="1"/>
  <c r="G106" i="1"/>
  <c r="G112" i="1"/>
  <c r="G113" i="1"/>
  <c r="G119" i="1"/>
  <c r="G118" i="1"/>
  <c r="G124" i="1"/>
  <c r="G125" i="1"/>
  <c r="G128" i="1"/>
  <c r="G127" i="1"/>
  <c r="G133" i="1"/>
  <c r="G134" i="1"/>
  <c r="G143" i="1"/>
  <c r="G142" i="1"/>
  <c r="G145" i="1"/>
  <c r="G146" i="1"/>
  <c r="G149" i="1"/>
  <c r="G148" i="1"/>
  <c r="G154" i="1"/>
  <c r="G155" i="1"/>
  <c r="G160" i="1"/>
  <c r="G161" i="1"/>
  <c r="G164" i="1"/>
  <c r="G163" i="1"/>
  <c r="G169" i="1"/>
  <c r="G170" i="1"/>
  <c r="M168" i="1"/>
  <c r="G158" i="1"/>
  <c r="G116" i="1"/>
  <c r="M106" i="1"/>
  <c r="G152" i="1"/>
  <c r="M96" i="1"/>
  <c r="M97" i="1"/>
  <c r="M108" i="1"/>
  <c r="M109" i="1"/>
  <c r="M117" i="1"/>
  <c r="M118" i="1"/>
  <c r="M153" i="1"/>
  <c r="M154" i="1"/>
  <c r="M121" i="1"/>
  <c r="G93" i="1"/>
  <c r="G96" i="1"/>
  <c r="G105" i="1"/>
  <c r="G108" i="1"/>
  <c r="G117" i="1"/>
  <c r="G120" i="1"/>
  <c r="G129" i="1"/>
  <c r="G132" i="1"/>
  <c r="G141" i="1"/>
  <c r="G144" i="1"/>
  <c r="G153" i="1"/>
  <c r="G156" i="1"/>
  <c r="G165" i="1"/>
  <c r="G168" i="1"/>
  <c r="A176" i="1" l="1"/>
  <c r="S173" i="1"/>
  <c r="G173" i="1"/>
  <c r="A177" i="1" l="1"/>
  <c r="G174" i="1"/>
  <c r="M174" i="1"/>
  <c r="S174" i="1"/>
  <c r="A178" i="1" l="1"/>
  <c r="S175" i="1"/>
  <c r="M175" i="1"/>
  <c r="G175" i="1"/>
  <c r="A179" i="1" l="1"/>
  <c r="S176" i="1"/>
  <c r="G176" i="1"/>
  <c r="M176" i="1"/>
  <c r="A180" i="1" l="1"/>
  <c r="S177" i="1"/>
  <c r="M177" i="1"/>
  <c r="G177" i="1"/>
  <c r="A181" i="1" l="1"/>
  <c r="S178" i="1"/>
  <c r="M178" i="1"/>
  <c r="G178" i="1"/>
  <c r="A182" i="1" l="1"/>
  <c r="S179" i="1"/>
  <c r="M179" i="1"/>
  <c r="G179" i="1"/>
  <c r="A183" i="1" l="1"/>
  <c r="S180" i="1"/>
  <c r="G180" i="1"/>
  <c r="M180" i="1"/>
  <c r="A184" i="1" l="1"/>
  <c r="S181" i="1"/>
  <c r="G181" i="1"/>
  <c r="M181" i="1"/>
  <c r="A185" i="1" l="1"/>
  <c r="S182" i="1"/>
  <c r="M182" i="1"/>
  <c r="G182" i="1"/>
  <c r="A186" i="1" l="1"/>
  <c r="M183" i="1"/>
  <c r="S183" i="1"/>
  <c r="G183" i="1"/>
  <c r="A187" i="1" l="1"/>
  <c r="S184" i="1"/>
  <c r="G184" i="1"/>
  <c r="M184" i="1"/>
  <c r="A188" i="1" l="1"/>
  <c r="S185" i="1"/>
  <c r="G185" i="1"/>
  <c r="M185" i="1"/>
  <c r="A189" i="1" l="1"/>
  <c r="M186" i="1"/>
  <c r="S186" i="1"/>
  <c r="G186" i="1"/>
  <c r="A190" i="1" l="1"/>
  <c r="S187" i="1"/>
  <c r="M187" i="1"/>
  <c r="G187" i="1"/>
  <c r="A191" i="1" l="1"/>
  <c r="M188" i="1"/>
  <c r="S188" i="1"/>
  <c r="G188" i="1"/>
  <c r="A192" i="1" l="1"/>
  <c r="S189" i="1"/>
  <c r="M189" i="1"/>
  <c r="G189" i="1"/>
  <c r="A193" i="1" l="1"/>
  <c r="G190" i="1"/>
  <c r="M190" i="1"/>
  <c r="S190" i="1"/>
  <c r="A194" i="1" l="1"/>
  <c r="M191" i="1"/>
  <c r="S191" i="1"/>
  <c r="G191" i="1"/>
  <c r="A195" i="1" l="1"/>
  <c r="G192" i="1"/>
  <c r="S192" i="1"/>
  <c r="M192" i="1"/>
  <c r="A196" i="1" l="1"/>
  <c r="G193" i="1"/>
  <c r="M193" i="1"/>
  <c r="S193" i="1"/>
  <c r="A197" i="1" l="1"/>
  <c r="G194" i="1"/>
  <c r="M194" i="1"/>
  <c r="S194" i="1"/>
  <c r="A198" i="1" l="1"/>
  <c r="M195" i="1"/>
  <c r="S195" i="1"/>
  <c r="G195" i="1"/>
  <c r="A199" i="1" l="1"/>
  <c r="G196" i="1"/>
  <c r="S196" i="1"/>
  <c r="M196" i="1"/>
  <c r="A200" i="1" l="1"/>
  <c r="S197" i="1"/>
  <c r="G197" i="1"/>
  <c r="M197" i="1"/>
  <c r="A201" i="1" l="1"/>
  <c r="M198" i="1"/>
  <c r="S198" i="1"/>
  <c r="G198" i="1"/>
  <c r="A202" i="1" l="1"/>
  <c r="M199" i="1"/>
  <c r="S199" i="1"/>
  <c r="G199" i="1"/>
  <c r="A203" i="1" l="1"/>
  <c r="M200" i="1"/>
  <c r="S200" i="1"/>
  <c r="G200" i="1"/>
  <c r="A204" i="1" l="1"/>
  <c r="G201" i="1"/>
  <c r="S201" i="1"/>
  <c r="M201" i="1"/>
  <c r="A205" i="1" l="1"/>
  <c r="G202" i="1"/>
  <c r="M202" i="1"/>
  <c r="S202" i="1"/>
  <c r="A206" i="1" l="1"/>
  <c r="G203" i="1"/>
  <c r="M203" i="1"/>
  <c r="S203" i="1"/>
  <c r="A207" i="1" l="1"/>
  <c r="G204" i="1"/>
  <c r="M204" i="1"/>
  <c r="S204" i="1"/>
  <c r="A208" i="1" l="1"/>
  <c r="M205" i="1"/>
  <c r="G205" i="1"/>
  <c r="S205" i="1"/>
  <c r="A209" i="1" l="1"/>
  <c r="M206" i="1"/>
  <c r="G206" i="1"/>
  <c r="S206" i="1"/>
  <c r="A210" i="1" l="1"/>
  <c r="G207" i="1"/>
  <c r="M207" i="1"/>
  <c r="S207" i="1"/>
  <c r="A211" i="1" l="1"/>
  <c r="M208" i="1"/>
  <c r="G208" i="1"/>
  <c r="S208" i="1"/>
  <c r="A212" i="1" l="1"/>
  <c r="S209" i="1"/>
  <c r="G209" i="1"/>
  <c r="M209" i="1"/>
  <c r="A213" i="1" l="1"/>
  <c r="S210" i="1"/>
  <c r="G210" i="1"/>
  <c r="M210" i="1"/>
  <c r="A214" i="1" l="1"/>
  <c r="S211" i="1"/>
  <c r="M211" i="1"/>
  <c r="G211" i="1"/>
  <c r="A215" i="1" l="1"/>
  <c r="G212" i="1"/>
  <c r="M212" i="1"/>
  <c r="S212" i="1"/>
  <c r="A216" i="1" l="1"/>
  <c r="M213" i="1"/>
  <c r="G213" i="1"/>
  <c r="S213" i="1"/>
  <c r="A217" i="1" l="1"/>
  <c r="S214" i="1"/>
  <c r="M214" i="1"/>
  <c r="G214" i="1"/>
  <c r="A218" i="1" l="1"/>
  <c r="S215" i="1"/>
  <c r="M215" i="1"/>
  <c r="G215" i="1"/>
  <c r="A219" i="1" l="1"/>
  <c r="M216" i="1"/>
  <c r="G216" i="1"/>
  <c r="S216" i="1"/>
  <c r="A220" i="1" l="1"/>
  <c r="S217" i="1"/>
  <c r="M217" i="1"/>
  <c r="G217" i="1"/>
  <c r="A221" i="1" l="1"/>
  <c r="S218" i="1"/>
  <c r="M218" i="1"/>
  <c r="G218" i="1"/>
  <c r="A222" i="1" l="1"/>
  <c r="G219" i="1"/>
  <c r="M219" i="1"/>
  <c r="S219" i="1"/>
  <c r="A223" i="1" l="1"/>
  <c r="G220" i="1"/>
  <c r="S220" i="1"/>
  <c r="M220" i="1"/>
  <c r="A224" i="1" l="1"/>
  <c r="S221" i="1"/>
  <c r="M221" i="1"/>
  <c r="G221" i="1"/>
  <c r="A225" i="1" l="1"/>
  <c r="G222" i="1"/>
  <c r="S222" i="1"/>
  <c r="M222" i="1"/>
  <c r="A226" i="1" l="1"/>
  <c r="S223" i="1"/>
  <c r="M223" i="1"/>
  <c r="G223" i="1"/>
  <c r="A227" i="1" l="1"/>
  <c r="S224" i="1"/>
  <c r="G224" i="1"/>
  <c r="M224" i="1"/>
  <c r="A228" i="1" l="1"/>
  <c r="S225" i="1"/>
  <c r="G225" i="1"/>
  <c r="M225" i="1"/>
  <c r="A229" i="1" l="1"/>
  <c r="S226" i="1"/>
  <c r="M226" i="1"/>
  <c r="G226" i="1"/>
  <c r="A230" i="1" l="1"/>
  <c r="G227" i="1"/>
  <c r="S227" i="1"/>
  <c r="M227" i="1"/>
  <c r="A231" i="1" l="1"/>
  <c r="S228" i="1"/>
  <c r="G228" i="1"/>
  <c r="M228" i="1"/>
  <c r="A232" i="1" l="1"/>
  <c r="S229" i="1"/>
  <c r="G229" i="1"/>
  <c r="M229" i="1"/>
  <c r="A233" i="1" l="1"/>
  <c r="S230" i="1"/>
  <c r="G230" i="1"/>
  <c r="M230" i="1"/>
  <c r="A234" i="1" l="1"/>
  <c r="G231" i="1"/>
  <c r="M231" i="1"/>
  <c r="S231" i="1"/>
  <c r="A235" i="1" l="1"/>
  <c r="S232" i="1"/>
  <c r="G232" i="1"/>
  <c r="M232" i="1"/>
  <c r="A236" i="1" l="1"/>
  <c r="S233" i="1"/>
  <c r="G233" i="1"/>
  <c r="M233" i="1"/>
  <c r="A237" i="1" l="1"/>
  <c r="M234" i="1"/>
  <c r="S234" i="1"/>
  <c r="G234" i="1"/>
  <c r="A238" i="1" l="1"/>
  <c r="G235" i="1"/>
  <c r="S235" i="1"/>
  <c r="M235" i="1"/>
  <c r="A239" i="1" l="1"/>
  <c r="M236" i="1"/>
  <c r="G236" i="1"/>
  <c r="S236" i="1"/>
  <c r="A240" i="1" l="1"/>
  <c r="S237" i="1"/>
  <c r="G237" i="1"/>
  <c r="M237" i="1"/>
  <c r="A241" i="1" l="1"/>
  <c r="G238" i="1"/>
  <c r="M238" i="1"/>
  <c r="S238" i="1"/>
  <c r="A242" i="1" l="1"/>
  <c r="S239" i="1"/>
  <c r="G239" i="1"/>
  <c r="M239" i="1"/>
  <c r="A243" i="1" l="1"/>
  <c r="S240" i="1"/>
  <c r="M240" i="1"/>
  <c r="G240" i="1"/>
  <c r="A244" i="1" l="1"/>
  <c r="G241" i="1"/>
  <c r="M241" i="1"/>
  <c r="S241" i="1"/>
  <c r="A245" i="1" l="1"/>
  <c r="M242" i="1"/>
  <c r="S242" i="1"/>
  <c r="G242" i="1"/>
  <c r="A246" i="1" l="1"/>
  <c r="G243" i="1"/>
  <c r="M243" i="1"/>
  <c r="S243" i="1"/>
  <c r="A247" i="1" l="1"/>
  <c r="S244" i="1"/>
  <c r="G244" i="1"/>
  <c r="M244" i="1"/>
  <c r="A248" i="1" l="1"/>
  <c r="S245" i="1"/>
  <c r="M245" i="1"/>
  <c r="G245" i="1"/>
  <c r="A249" i="1" l="1"/>
  <c r="G246" i="1"/>
  <c r="M246" i="1"/>
  <c r="S246" i="1"/>
  <c r="A250" i="1" l="1"/>
  <c r="M247" i="1"/>
  <c r="G247" i="1"/>
  <c r="S247" i="1"/>
  <c r="A251" i="1" l="1"/>
  <c r="M248" i="1"/>
  <c r="S248" i="1"/>
  <c r="G248" i="1"/>
  <c r="A252" i="1" l="1"/>
  <c r="M249" i="1"/>
  <c r="S249" i="1"/>
  <c r="G249" i="1"/>
  <c r="A253" i="1" l="1"/>
  <c r="M250" i="1"/>
  <c r="G250" i="1"/>
  <c r="S250" i="1"/>
  <c r="A254" i="1" l="1"/>
  <c r="M251" i="1"/>
  <c r="S251" i="1"/>
  <c r="G251" i="1"/>
  <c r="A255" i="1" l="1"/>
  <c r="G252" i="1"/>
  <c r="S252" i="1"/>
  <c r="M252" i="1"/>
  <c r="A256" i="1" l="1"/>
  <c r="M253" i="1"/>
  <c r="G253" i="1"/>
  <c r="S253" i="1"/>
  <c r="A257" i="1" l="1"/>
  <c r="S254" i="1"/>
  <c r="M254" i="1"/>
  <c r="G254" i="1"/>
  <c r="A258" i="1" l="1"/>
  <c r="G255" i="1"/>
  <c r="M255" i="1"/>
  <c r="S255" i="1"/>
  <c r="A259" i="1" l="1"/>
  <c r="S256" i="1"/>
  <c r="M256" i="1"/>
  <c r="G256" i="1"/>
  <c r="A260" i="1" l="1"/>
  <c r="S257" i="1"/>
  <c r="G257" i="1"/>
  <c r="M257" i="1"/>
  <c r="A261" i="1" l="1"/>
  <c r="G258" i="1"/>
  <c r="S258" i="1"/>
  <c r="M258" i="1"/>
  <c r="A262" i="1" l="1"/>
  <c r="S259" i="1"/>
  <c r="G259" i="1"/>
  <c r="M259" i="1"/>
  <c r="A263" i="1" l="1"/>
  <c r="G260" i="1"/>
  <c r="M260" i="1"/>
  <c r="S260" i="1"/>
  <c r="A264" i="1" l="1"/>
  <c r="M261" i="1"/>
  <c r="S261" i="1"/>
  <c r="G261" i="1"/>
  <c r="A265" i="1" l="1"/>
  <c r="G262" i="1"/>
  <c r="S262" i="1"/>
  <c r="M262" i="1"/>
  <c r="A266" i="1" l="1"/>
  <c r="M263" i="1"/>
  <c r="G263" i="1"/>
  <c r="S263" i="1"/>
  <c r="A267" i="1" l="1"/>
  <c r="G264" i="1"/>
  <c r="M264" i="1"/>
  <c r="S264" i="1"/>
  <c r="A268" i="1" l="1"/>
  <c r="S265" i="1"/>
  <c r="M265" i="1"/>
  <c r="G265" i="1"/>
  <c r="A269" i="1" l="1"/>
  <c r="S266" i="1"/>
  <c r="G266" i="1"/>
  <c r="M266" i="1"/>
  <c r="A270" i="1" l="1"/>
  <c r="G267" i="1"/>
  <c r="M267" i="1"/>
  <c r="S267" i="1"/>
  <c r="A271" i="1" l="1"/>
  <c r="S268" i="1"/>
  <c r="G268" i="1"/>
  <c r="M268" i="1"/>
  <c r="A272" i="1" l="1"/>
  <c r="S269" i="1"/>
  <c r="G269" i="1"/>
  <c r="M269" i="1"/>
  <c r="A273" i="1" l="1"/>
  <c r="S270" i="1"/>
  <c r="M270" i="1"/>
  <c r="G270" i="1"/>
  <c r="M272" i="1" l="1"/>
  <c r="S272" i="1"/>
  <c r="M271" i="1"/>
  <c r="S271" i="1"/>
  <c r="G271" i="1"/>
  <c r="G272" i="1"/>
</calcChain>
</file>

<file path=xl/sharedStrings.xml><?xml version="1.0" encoding="utf-8"?>
<sst xmlns="http://schemas.openxmlformats.org/spreadsheetml/2006/main" count="29" uniqueCount="17">
  <si>
    <t xml:space="preserve"> 1 V</t>
  </si>
  <si>
    <t>Average</t>
  </si>
  <si>
    <t xml:space="preserve"> 2 V</t>
  </si>
  <si>
    <t xml:space="preserve"> 3 V</t>
  </si>
  <si>
    <t xml:space="preserve"> 4 V</t>
  </si>
  <si>
    <t>Time (hr)</t>
  </si>
  <si>
    <t xml:space="preserve">top </t>
  </si>
  <si>
    <t xml:space="preserve">bottom </t>
  </si>
  <si>
    <t xml:space="preserve">left </t>
  </si>
  <si>
    <t>right</t>
  </si>
  <si>
    <t>top</t>
  </si>
  <si>
    <t>bottom</t>
  </si>
  <si>
    <t>left</t>
  </si>
  <si>
    <t>Velocity 1V</t>
  </si>
  <si>
    <t>Velocity 2V</t>
  </si>
  <si>
    <t>Velocity 3V</t>
  </si>
  <si>
    <t>Velocity 4V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</si>
</sst>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color rgb="FF000000"/>
      <name val="Arial"/>
      <scheme val="minor"/>
    </font>
    <font>
      <sz val="11"/>
      <color theme="1"/>
      <name val="Arial"/>
    </font>
    <font>
      <sz val="11"/>
      <color rgb="FF000000"/>
      <name val="Arial"/>
    </font>
    <font>
      <sz val="10"/>
      <color theme="1"/>
      <name val="Arial"/>
    </font>
    <font>
      <sz val="10"/>
      <color theme="1"/>
      <name val="Arial"/>
    </font>
  </fonts>
  <fills count="3">
    <fill>
      <patternFill patternType="none"/>
    </fill>
    <fill>
      <patternFill patternType="gray125"/>
    </fill>
    <fill>
      <patternFill patternType="solid">
        <fgColor rgb="FFFF9900"/>
        <bgColor rgb="FFFF99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0" xfId="0" applyFont="1"/>
    <xf numFmtId="0" fontId="1" fillId="0" borderId="0" xfId="0" applyFont="1" applyAlignment="1">
      <alignment horizontal="right"/>
    </xf>
    <xf numFmtId="3" fontId="1" fillId="0" borderId="0" xfId="0" applyNumberFormat="1" applyFont="1" applyAlignment="1">
      <alignment horizontal="right"/>
    </xf>
    <xf numFmtId="0" fontId="1" fillId="2" borderId="0" xfId="0" applyFont="1" applyFill="1" applyAlignment="1">
      <alignment horizontal="right"/>
    </xf>
    <xf numFmtId="0" fontId="1" fillId="2" borderId="0" xfId="0" applyFont="1" applyFill="1"/>
    <xf numFmtId="0" fontId="3" fillId="0" borderId="0" xfId="0" applyFont="1"/>
    <xf numFmtId="0" fontId="4" fillId="0" borderId="0" xfId="0" applyFont="1" applyAlignment="1">
      <alignment horizontal="right"/>
    </xf>
    <xf numFmtId="0" fontId="3" fillId="0" borderId="0" xfId="0" applyFont="1" applyAlignment="1">
      <alignment horizontal="right"/>
    </xf>
    <xf numFmtId="3" fontId="3" fillId="0" borderId="0" xfId="0" applyNumberFormat="1" applyFont="1"/>
    <xf numFmtId="3" fontId="1" fillId="0" borderId="0" xfId="0" applyNumberFormat="1" applyFont="1"/>
    <xf numFmtId="3" fontId="4" fillId="0" borderId="0" xfId="0" applyNumberFormat="1" applyFont="1" applyAlignment="1">
      <alignment horizontal="right"/>
    </xf>
    <xf numFmtId="3" fontId="3" fillId="0" borderId="0" xfId="0" applyNumberFormat="1" applyFont="1" applyAlignment="1">
      <alignment horizontal="right"/>
    </xf>
    <xf numFmtId="0" fontId="4" fillId="0" borderId="0" xfId="0" applyFont="1"/>
    <xf numFmtId="0" fontId="2" fillId="0" borderId="0" xfId="0" applyFont="1" applyAlignment="1">
      <alignment horizontal="center"/>
    </xf>
    <xf numFmtId="0" fontId="0" fillId="0" borderId="0" xfId="0"/>
    <xf numFmtId="0" fontId="1" fillId="0" borderId="0" xfId="0" applyFont="1" applyAlignment="1">
      <alignment horizontal="center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CE292"/>
  <sheetViews>
    <sheetView tabSelected="1" zoomScale="63" workbookViewId="0">
      <selection activeCell="R7" sqref="R7"/>
    </sheetView>
  </sheetViews>
  <sheetFormatPr defaultColWidth="12.6328125" defaultRowHeight="15.75" customHeight="1" x14ac:dyDescent="0.25"/>
  <cols>
    <col min="6" max="7" width="20.7265625" customWidth="1"/>
    <col min="12" max="13" width="24.08984375" customWidth="1"/>
    <col min="18" max="19" width="19" customWidth="1"/>
    <col min="24" max="24" width="24.26953125" customWidth="1"/>
    <col min="25" max="25" width="0.1796875" customWidth="1"/>
    <col min="26" max="26" width="12.6328125" hidden="1" customWidth="1"/>
    <col min="27" max="27" width="0.36328125" hidden="1" customWidth="1"/>
    <col min="28" max="28" width="9.453125" hidden="1" customWidth="1"/>
    <col min="29" max="29" width="0.36328125" customWidth="1"/>
    <col min="30" max="30" width="12.6328125" customWidth="1"/>
    <col min="31" max="31" width="0.54296875" customWidth="1"/>
    <col min="32" max="35" width="12.6328125" hidden="1" customWidth="1"/>
  </cols>
  <sheetData>
    <row r="1" spans="1:83" ht="14" x14ac:dyDescent="0.3">
      <c r="A1" s="1" t="s">
        <v>5</v>
      </c>
      <c r="B1" s="16" t="s">
        <v>0</v>
      </c>
      <c r="C1" s="15"/>
      <c r="D1" s="15"/>
      <c r="E1" s="15"/>
      <c r="F1" s="1" t="s">
        <v>1</v>
      </c>
      <c r="G1" s="1" t="s">
        <v>13</v>
      </c>
      <c r="H1" s="14" t="s">
        <v>2</v>
      </c>
      <c r="I1" s="15"/>
      <c r="J1" s="15"/>
      <c r="K1" s="15"/>
      <c r="L1" s="1" t="s">
        <v>1</v>
      </c>
      <c r="M1" s="1" t="s">
        <v>14</v>
      </c>
      <c r="N1" s="14" t="s">
        <v>3</v>
      </c>
      <c r="O1" s="15"/>
      <c r="P1" s="15"/>
      <c r="Q1" s="15"/>
      <c r="R1" s="1" t="s">
        <v>1</v>
      </c>
      <c r="S1" s="1" t="s">
        <v>15</v>
      </c>
      <c r="T1" s="14" t="s">
        <v>4</v>
      </c>
      <c r="U1" s="15"/>
      <c r="V1" s="15"/>
      <c r="W1" s="15"/>
      <c r="X1" s="17" t="s">
        <v>1</v>
      </c>
      <c r="Y1" s="15"/>
      <c r="Z1" s="15"/>
      <c r="AA1" s="15"/>
      <c r="AB1" s="15"/>
      <c r="AC1" s="15"/>
      <c r="AD1" s="14" t="s">
        <v>16</v>
      </c>
      <c r="AE1" s="15"/>
      <c r="AF1" s="15"/>
      <c r="AG1" s="15"/>
      <c r="AH1" s="15"/>
      <c r="AI1" s="15"/>
      <c r="AJ1" s="14"/>
      <c r="AK1" s="15"/>
      <c r="AL1" s="15"/>
      <c r="AM1" s="15"/>
      <c r="AN1" s="15"/>
      <c r="AO1" s="15"/>
      <c r="AP1" s="14"/>
      <c r="AQ1" s="15"/>
      <c r="AR1" s="15"/>
      <c r="AS1" s="15"/>
      <c r="AT1" s="15"/>
      <c r="AU1" s="15"/>
      <c r="AV1" s="14"/>
      <c r="AW1" s="15"/>
      <c r="AX1" s="15"/>
      <c r="AY1" s="15"/>
      <c r="AZ1" s="15"/>
      <c r="BA1" s="15"/>
      <c r="BB1" s="14"/>
      <c r="BC1" s="15"/>
      <c r="BD1" s="15"/>
      <c r="BE1" s="15"/>
      <c r="BF1" s="15"/>
      <c r="BG1" s="15"/>
      <c r="BH1" s="14"/>
      <c r="BI1" s="15"/>
      <c r="BJ1" s="15"/>
      <c r="BK1" s="15"/>
      <c r="BL1" s="15"/>
      <c r="BM1" s="15"/>
      <c r="BN1" s="14"/>
      <c r="BO1" s="15"/>
      <c r="BP1" s="15"/>
      <c r="BQ1" s="15"/>
      <c r="BR1" s="15"/>
      <c r="BS1" s="15"/>
      <c r="BT1" s="14"/>
      <c r="BU1" s="15"/>
      <c r="BV1" s="15"/>
      <c r="BW1" s="15"/>
      <c r="BX1" s="15"/>
      <c r="BY1" s="15"/>
      <c r="BZ1" s="14"/>
      <c r="CA1" s="15"/>
      <c r="CB1" s="15"/>
      <c r="CC1" s="15"/>
      <c r="CD1" s="15"/>
      <c r="CE1" s="15"/>
    </row>
    <row r="2" spans="1:83" ht="14" x14ac:dyDescent="0.3">
      <c r="B2" s="1" t="s">
        <v>6</v>
      </c>
      <c r="C2" s="1" t="s">
        <v>7</v>
      </c>
      <c r="D2" s="1" t="s">
        <v>8</v>
      </c>
      <c r="E2" s="1" t="s">
        <v>9</v>
      </c>
      <c r="G2">
        <f>(F4-F3)/(A4-A3)</f>
        <v>-52.244499999997061</v>
      </c>
      <c r="H2" s="1" t="s">
        <v>10</v>
      </c>
      <c r="I2" s="1" t="s">
        <v>11</v>
      </c>
      <c r="J2" s="1" t="s">
        <v>12</v>
      </c>
      <c r="K2" s="1" t="s">
        <v>9</v>
      </c>
      <c r="M2">
        <f>(L4-L3)/(A4-A3)</f>
        <v>-142.06000000000131</v>
      </c>
      <c r="N2" s="1" t="s">
        <v>10</v>
      </c>
      <c r="O2" s="1" t="s">
        <v>11</v>
      </c>
      <c r="P2" s="1" t="s">
        <v>12</v>
      </c>
      <c r="Q2" s="1" t="s">
        <v>9</v>
      </c>
      <c r="S2">
        <f>(R4-R3)/(A4-A3)</f>
        <v>47.282999999999447</v>
      </c>
      <c r="T2" s="1" t="s">
        <v>10</v>
      </c>
      <c r="U2" s="1" t="s">
        <v>11</v>
      </c>
      <c r="V2" s="1" t="s">
        <v>12</v>
      </c>
      <c r="W2" s="1" t="s">
        <v>9</v>
      </c>
      <c r="Y2" s="1"/>
      <c r="Z2" s="1"/>
      <c r="AA2" s="1"/>
      <c r="AB2" s="1"/>
      <c r="AC2" s="1"/>
      <c r="AD2" s="2">
        <f>(X4-X3)/(A4-A3)</f>
        <v>-43.058000000000902</v>
      </c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</row>
    <row r="3" spans="1:83" ht="14" x14ac:dyDescent="0.3">
      <c r="A3" s="2">
        <v>0.5</v>
      </c>
      <c r="B3" s="2">
        <v>2948.1210000000001</v>
      </c>
      <c r="C3" s="2">
        <v>11131.263999999999</v>
      </c>
      <c r="D3" s="2">
        <v>11231.718999999999</v>
      </c>
      <c r="E3" s="2">
        <v>9888.3230000000003</v>
      </c>
      <c r="F3" s="2">
        <f>((B3+C3+D3+E3)/4)-7000</f>
        <v>1799.856749999999</v>
      </c>
      <c r="G3">
        <f t="shared" ref="G3:G66" si="0">(F5-F4)/(A5-A4)</f>
        <v>12.389999999999418</v>
      </c>
      <c r="H3" s="2">
        <v>9635.9609999999993</v>
      </c>
      <c r="I3" s="2">
        <v>11383.81</v>
      </c>
      <c r="J3" s="2">
        <v>9584.2860000000001</v>
      </c>
      <c r="K3" s="2">
        <v>11441.606</v>
      </c>
      <c r="L3" s="2">
        <f>((H3+I3+J3+K3)/4)-7000</f>
        <v>3511.4157500000001</v>
      </c>
      <c r="M3">
        <f t="shared" ref="M3:M66" si="1">(L5-L4)/(A5-A4)</f>
        <v>35.374500000001717</v>
      </c>
      <c r="N3" s="2">
        <v>11515.475</v>
      </c>
      <c r="O3" s="2">
        <v>1927.752</v>
      </c>
      <c r="P3" s="2">
        <v>9594.2450000000008</v>
      </c>
      <c r="Q3" s="2">
        <v>9631.4560000000001</v>
      </c>
      <c r="R3" s="2">
        <f>((N3+O3+P3+Q3)/4)-7000</f>
        <v>1167.232</v>
      </c>
      <c r="S3">
        <f t="shared" ref="S3:S66" si="2">(R5-R4)/(A5-A4)</f>
        <v>-99.497999999999593</v>
      </c>
      <c r="T3" s="2">
        <v>9536.1209999999992</v>
      </c>
      <c r="U3" s="2">
        <v>10515.489</v>
      </c>
      <c r="V3" s="2">
        <v>7879.6220000000003</v>
      </c>
      <c r="W3" s="2">
        <v>11134.403</v>
      </c>
      <c r="X3" s="2">
        <f>((T3+U3+V3+U3+V3)/4)-7000</f>
        <v>4581.5857500000002</v>
      </c>
      <c r="Y3" s="2"/>
      <c r="Z3" s="2"/>
      <c r="AA3" s="2"/>
      <c r="AB3" s="2"/>
      <c r="AC3" s="2"/>
      <c r="AD3" s="2">
        <f t="shared" ref="AD3:AD66" si="3">(X5-X4)/(A5-A4)</f>
        <v>23.383499999999913</v>
      </c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3"/>
      <c r="BC3" s="2"/>
      <c r="BD3" s="2"/>
      <c r="BE3" s="2"/>
      <c r="BF3" s="3"/>
      <c r="BG3" s="2"/>
      <c r="BH3" s="2"/>
      <c r="BI3" s="2"/>
      <c r="BJ3" s="2"/>
      <c r="BK3" s="2"/>
      <c r="BL3" s="2"/>
      <c r="BM3" s="2"/>
      <c r="BN3" s="2"/>
      <c r="BO3" s="2"/>
      <c r="BP3" s="2"/>
      <c r="BQ3" s="2"/>
      <c r="BR3" s="2"/>
      <c r="BS3" s="2"/>
      <c r="BT3" s="2"/>
      <c r="BU3" s="2"/>
      <c r="BV3" s="2"/>
      <c r="BW3" s="2"/>
      <c r="BX3" s="2"/>
      <c r="BY3" s="2"/>
      <c r="BZ3" s="2"/>
      <c r="CA3" s="2"/>
      <c r="CB3" s="2"/>
      <c r="CC3" s="2"/>
      <c r="CD3" s="2"/>
      <c r="CE3" s="2"/>
    </row>
    <row r="4" spans="1:83" ht="14" x14ac:dyDescent="0.3">
      <c r="A4" s="2">
        <f t="shared" ref="A4:A258" si="4">A3+0.5</f>
        <v>1</v>
      </c>
      <c r="B4" s="2">
        <v>2933.8850000000002</v>
      </c>
      <c r="C4" s="2">
        <v>11100.597</v>
      </c>
      <c r="D4" s="2">
        <v>11200.269</v>
      </c>
      <c r="E4" s="2">
        <v>9860.1869999999999</v>
      </c>
      <c r="F4" s="2">
        <f t="shared" ref="F4:F67" si="5">((B4+C4+D4+E4)/4)-7000</f>
        <v>1773.7345000000005</v>
      </c>
      <c r="G4">
        <f t="shared" si="0"/>
        <v>-88.427999999996246</v>
      </c>
      <c r="H4" s="2">
        <v>9588.1209999999992</v>
      </c>
      <c r="I4" s="2">
        <v>11200.392</v>
      </c>
      <c r="J4" s="2">
        <v>9574.3359999999993</v>
      </c>
      <c r="K4" s="2">
        <v>11398.694</v>
      </c>
      <c r="L4" s="2">
        <f t="shared" ref="L4:L67" si="6">((H4+I4+J4+K4)/4)-7000</f>
        <v>3440.3857499999995</v>
      </c>
      <c r="M4">
        <f t="shared" si="1"/>
        <v>-251.56899999999951</v>
      </c>
      <c r="N4" s="2">
        <v>11483.803</v>
      </c>
      <c r="O4" s="2">
        <v>2126.4490000000001</v>
      </c>
      <c r="P4" s="2">
        <v>9557.6360000000004</v>
      </c>
      <c r="Q4" s="2">
        <v>9595.6059999999998</v>
      </c>
      <c r="R4" s="2">
        <f t="shared" ref="R4:R67" si="7">((N4+O4+P4+Q4)/4)-7000</f>
        <v>1190.8734999999997</v>
      </c>
      <c r="S4">
        <f t="shared" si="2"/>
        <v>212.14500000000044</v>
      </c>
      <c r="T4" s="2">
        <v>9500.3369999999995</v>
      </c>
      <c r="U4" s="2">
        <v>10507.36</v>
      </c>
      <c r="V4" s="2">
        <v>7862.585</v>
      </c>
      <c r="W4" s="2">
        <v>10598.77</v>
      </c>
      <c r="X4" s="2">
        <f t="shared" ref="X4:X67" si="8">((T4+U4+V4+U4+V4)/4)-7000</f>
        <v>4560.0567499999997</v>
      </c>
      <c r="Y4" s="2"/>
      <c r="Z4" s="2"/>
      <c r="AA4" s="2"/>
      <c r="AB4" s="2"/>
      <c r="AC4" s="2"/>
      <c r="AD4" s="2">
        <f t="shared" si="3"/>
        <v>273.17350000000079</v>
      </c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2"/>
      <c r="AX4" s="2"/>
      <c r="AY4" s="2"/>
      <c r="AZ4" s="2"/>
      <c r="BA4" s="2"/>
      <c r="BB4" s="2"/>
      <c r="BC4" s="2"/>
      <c r="BD4" s="2"/>
      <c r="BE4" s="2"/>
      <c r="BF4" s="2"/>
      <c r="BG4" s="2"/>
      <c r="BH4" s="2"/>
      <c r="BI4" s="2"/>
      <c r="BJ4" s="2"/>
      <c r="BK4" s="2"/>
      <c r="BL4" s="2"/>
      <c r="BM4" s="2"/>
      <c r="BN4" s="2"/>
      <c r="BO4" s="2"/>
      <c r="BP4" s="2"/>
      <c r="BQ4" s="3"/>
      <c r="BR4" s="2"/>
      <c r="BS4" s="2"/>
      <c r="BT4" s="2"/>
      <c r="BU4" s="2"/>
      <c r="BV4" s="2"/>
      <c r="BW4" s="2"/>
      <c r="BX4" s="2"/>
      <c r="BY4" s="2"/>
      <c r="BZ4" s="2"/>
      <c r="CA4" s="2"/>
      <c r="CB4" s="2"/>
      <c r="CC4" s="2"/>
      <c r="CD4" s="2"/>
      <c r="CE4" s="2"/>
    </row>
    <row r="5" spans="1:83" ht="14" x14ac:dyDescent="0.3">
      <c r="A5" s="2">
        <f t="shared" si="4"/>
        <v>1.5</v>
      </c>
      <c r="B5" s="2">
        <v>2937.502</v>
      </c>
      <c r="C5" s="2">
        <v>11097.245999999999</v>
      </c>
      <c r="D5" s="2">
        <v>11213.960999999999</v>
      </c>
      <c r="E5" s="2">
        <v>9871.009</v>
      </c>
      <c r="F5" s="2">
        <f t="shared" si="5"/>
        <v>1779.9295000000002</v>
      </c>
      <c r="G5">
        <f t="shared" si="0"/>
        <v>118.20899999999529</v>
      </c>
      <c r="H5" s="2">
        <v>9601.3179999999993</v>
      </c>
      <c r="I5" s="2">
        <v>11226.465</v>
      </c>
      <c r="J5" s="2">
        <v>9594.7999999999993</v>
      </c>
      <c r="K5" s="2">
        <v>11409.709000000001</v>
      </c>
      <c r="L5" s="2">
        <f t="shared" si="6"/>
        <v>3458.0730000000003</v>
      </c>
      <c r="M5">
        <f t="shared" si="1"/>
        <v>465.60749999999825</v>
      </c>
      <c r="N5" s="2">
        <v>11479.723</v>
      </c>
      <c r="O5" s="2">
        <v>1926.635</v>
      </c>
      <c r="P5" s="2">
        <v>9556.1219999999994</v>
      </c>
      <c r="Q5" s="2">
        <v>9602.018</v>
      </c>
      <c r="R5" s="2">
        <f t="shared" si="7"/>
        <v>1141.1244999999999</v>
      </c>
      <c r="S5">
        <f t="shared" si="2"/>
        <v>-159.70049999999901</v>
      </c>
      <c r="T5" s="2">
        <v>9518.3539999999994</v>
      </c>
      <c r="U5" s="2">
        <v>10522.521000000001</v>
      </c>
      <c r="V5" s="2">
        <v>7861.799</v>
      </c>
      <c r="W5" s="2">
        <v>11105.699000000001</v>
      </c>
      <c r="X5" s="2">
        <f t="shared" si="8"/>
        <v>4571.7484999999997</v>
      </c>
      <c r="Y5" s="2"/>
      <c r="Z5" s="2"/>
      <c r="AA5" s="2"/>
      <c r="AB5" s="2"/>
      <c r="AC5" s="2"/>
      <c r="AD5" s="2">
        <f t="shared" si="3"/>
        <v>-217.77300000000105</v>
      </c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  <c r="AP5" s="2"/>
      <c r="AQ5" s="2"/>
      <c r="AR5" s="2"/>
      <c r="AS5" s="2"/>
      <c r="AT5" s="2"/>
      <c r="AU5" s="2"/>
      <c r="AV5" s="2"/>
      <c r="AW5" s="2"/>
      <c r="AX5" s="2"/>
      <c r="AY5" s="2"/>
      <c r="AZ5" s="2"/>
      <c r="BA5" s="2"/>
      <c r="BB5" s="2"/>
      <c r="BC5" s="2"/>
      <c r="BD5" s="2"/>
      <c r="BE5" s="2"/>
      <c r="BF5" s="2"/>
      <c r="BG5" s="2"/>
      <c r="BH5" s="2"/>
      <c r="BI5" s="2"/>
      <c r="BJ5" s="2"/>
      <c r="BK5" s="2"/>
      <c r="BL5" s="2"/>
      <c r="BM5" s="2"/>
      <c r="BN5" s="2"/>
      <c r="BO5" s="2"/>
      <c r="BP5" s="2"/>
      <c r="BQ5" s="2"/>
      <c r="BR5" s="2"/>
      <c r="BS5" s="2"/>
      <c r="BT5" s="2"/>
      <c r="BU5" s="2"/>
      <c r="BV5" s="2"/>
      <c r="BW5" s="2"/>
      <c r="BX5" s="2"/>
      <c r="BY5" s="2"/>
      <c r="BZ5" s="2"/>
      <c r="CA5" s="2"/>
      <c r="CB5" s="2"/>
      <c r="CC5" s="2"/>
      <c r="CD5" s="2"/>
      <c r="CE5" s="2"/>
    </row>
    <row r="6" spans="1:83" ht="14" x14ac:dyDescent="0.3">
      <c r="A6" s="2">
        <f t="shared" si="4"/>
        <v>2</v>
      </c>
      <c r="B6" s="2">
        <v>2964.4250000000002</v>
      </c>
      <c r="C6" s="2">
        <v>10687.957</v>
      </c>
      <c r="D6" s="2">
        <v>11321.797</v>
      </c>
      <c r="E6" s="2">
        <v>9968.6830000000009</v>
      </c>
      <c r="F6" s="2">
        <f t="shared" si="5"/>
        <v>1735.7155000000021</v>
      </c>
      <c r="G6">
        <f t="shared" si="0"/>
        <v>-65.519000000000233</v>
      </c>
      <c r="H6" s="2">
        <v>9696.5720000000001</v>
      </c>
      <c r="I6" s="2">
        <v>11396.5</v>
      </c>
      <c r="J6" s="2">
        <v>8700.8189999999995</v>
      </c>
      <c r="K6" s="2">
        <v>11535.263000000001</v>
      </c>
      <c r="L6" s="2">
        <f t="shared" si="6"/>
        <v>3332.2885000000006</v>
      </c>
      <c r="M6">
        <f t="shared" si="1"/>
        <v>110.93349999999919</v>
      </c>
      <c r="N6" s="2">
        <v>11631.34</v>
      </c>
      <c r="O6" s="2">
        <v>1950.7860000000001</v>
      </c>
      <c r="P6" s="2">
        <v>9685.9529999999995</v>
      </c>
      <c r="Q6" s="2">
        <v>9720.7090000000007</v>
      </c>
      <c r="R6" s="2">
        <f t="shared" si="7"/>
        <v>1247.1970000000001</v>
      </c>
      <c r="S6">
        <f t="shared" si="2"/>
        <v>43.709500000000844</v>
      </c>
      <c r="T6" s="2">
        <v>9621.5869999999995</v>
      </c>
      <c r="U6" s="2">
        <v>10640.978999999999</v>
      </c>
      <c r="V6" s="2">
        <v>7964.8980000000001</v>
      </c>
      <c r="W6" s="2">
        <v>10727.893</v>
      </c>
      <c r="X6" s="2">
        <f t="shared" si="8"/>
        <v>4708.3352500000001</v>
      </c>
      <c r="Y6" s="2"/>
      <c r="Z6" s="2"/>
      <c r="AA6" s="2"/>
      <c r="AB6" s="2"/>
      <c r="AC6" s="2"/>
      <c r="AD6" s="2">
        <f t="shared" si="3"/>
        <v>-108.20599999999831</v>
      </c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  <c r="AV6" s="2"/>
      <c r="AW6" s="2"/>
      <c r="AX6" s="2"/>
      <c r="AY6" s="2"/>
      <c r="AZ6" s="2"/>
      <c r="BA6" s="2"/>
      <c r="BB6" s="2"/>
      <c r="BC6" s="2"/>
      <c r="BD6" s="2"/>
      <c r="BE6" s="2"/>
      <c r="BF6" s="2"/>
      <c r="BG6" s="2"/>
      <c r="BH6" s="2"/>
      <c r="BI6" s="2"/>
      <c r="BJ6" s="2"/>
      <c r="BK6" s="2"/>
      <c r="BL6" s="2"/>
      <c r="BM6" s="2"/>
      <c r="BN6" s="2"/>
      <c r="BO6" s="2"/>
      <c r="BP6" s="2"/>
      <c r="BQ6" s="2"/>
      <c r="BR6" s="2"/>
      <c r="BS6" s="2"/>
      <c r="BT6" s="2"/>
      <c r="BU6" s="2"/>
      <c r="BV6" s="2"/>
      <c r="BW6" s="2"/>
      <c r="BX6" s="2"/>
      <c r="BY6" s="2"/>
      <c r="BZ6" s="2"/>
      <c r="CA6" s="2"/>
      <c r="CB6" s="2"/>
      <c r="CC6" s="2"/>
      <c r="CD6" s="2"/>
      <c r="CE6" s="2"/>
    </row>
    <row r="7" spans="1:83" ht="14" x14ac:dyDescent="0.3">
      <c r="A7" s="2">
        <f t="shared" si="4"/>
        <v>2.5</v>
      </c>
      <c r="B7" s="2">
        <v>2941.3449999999998</v>
      </c>
      <c r="C7" s="2">
        <v>11128.216</v>
      </c>
      <c r="D7" s="2">
        <v>11223.736000000001</v>
      </c>
      <c r="E7" s="2">
        <v>9885.9830000000002</v>
      </c>
      <c r="F7" s="2">
        <f t="shared" si="5"/>
        <v>1794.8199999999997</v>
      </c>
      <c r="G7">
        <f t="shared" si="0"/>
        <v>-51.98149999999805</v>
      </c>
      <c r="H7" s="2">
        <v>9622.5759999999991</v>
      </c>
      <c r="I7" s="2">
        <v>11597.439</v>
      </c>
      <c r="J7" s="3">
        <v>9606.2360000000008</v>
      </c>
      <c r="K7" s="2">
        <v>11434.118</v>
      </c>
      <c r="L7" s="2">
        <f t="shared" si="6"/>
        <v>3565.0922499999997</v>
      </c>
      <c r="M7">
        <f t="shared" si="1"/>
        <v>-386.55600000000049</v>
      </c>
      <c r="N7" s="2">
        <v>11523.656999999999</v>
      </c>
      <c r="O7" s="2">
        <v>1929.7239999999999</v>
      </c>
      <c r="P7" s="2">
        <v>9589.7119999999995</v>
      </c>
      <c r="Q7" s="2">
        <v>9626.2939999999999</v>
      </c>
      <c r="R7" s="2">
        <f t="shared" si="7"/>
        <v>1167.3467500000006</v>
      </c>
      <c r="S7">
        <f t="shared" si="2"/>
        <v>-76.201500000002852</v>
      </c>
      <c r="T7" s="2">
        <v>9529.2950000000001</v>
      </c>
      <c r="U7" s="2">
        <v>10543.47</v>
      </c>
      <c r="V7" s="2">
        <v>7890.78</v>
      </c>
      <c r="W7" s="2">
        <v>11149.058000000001</v>
      </c>
      <c r="X7" s="2">
        <f t="shared" si="8"/>
        <v>4599.4487499999996</v>
      </c>
      <c r="Y7" s="2"/>
      <c r="Z7" s="2"/>
      <c r="AA7" s="2"/>
      <c r="AB7" s="2"/>
      <c r="AC7" s="2"/>
      <c r="AD7" s="2">
        <f t="shared" si="3"/>
        <v>-47.961999999999534</v>
      </c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  <c r="AW7" s="2"/>
      <c r="AX7" s="2"/>
      <c r="AY7" s="2"/>
      <c r="AZ7" s="2"/>
      <c r="BA7" s="2"/>
      <c r="BB7" s="2"/>
      <c r="BC7" s="2"/>
      <c r="BD7" s="2"/>
      <c r="BE7" s="2"/>
      <c r="BF7" s="2"/>
      <c r="BG7" s="2"/>
      <c r="BH7" s="2"/>
      <c r="BI7" s="2"/>
      <c r="BJ7" s="2"/>
      <c r="BK7" s="2"/>
      <c r="BL7" s="2"/>
      <c r="BM7" s="2"/>
      <c r="BN7" s="2"/>
      <c r="BO7" s="2"/>
      <c r="BP7" s="2"/>
      <c r="BQ7" s="2"/>
      <c r="BR7" s="2"/>
      <c r="BS7" s="2"/>
      <c r="BT7" s="2"/>
      <c r="BU7" s="2"/>
      <c r="BV7" s="2"/>
      <c r="BW7" s="2"/>
      <c r="BX7" s="2"/>
      <c r="BY7" s="2"/>
      <c r="BZ7" s="2"/>
      <c r="CA7" s="2"/>
      <c r="CB7" s="2"/>
      <c r="CC7" s="2"/>
      <c r="CD7" s="2"/>
      <c r="CE7" s="2"/>
    </row>
    <row r="8" spans="1:83" ht="14" x14ac:dyDescent="0.3">
      <c r="A8" s="2">
        <f t="shared" si="4"/>
        <v>3</v>
      </c>
      <c r="B8" s="2">
        <v>2924.7080000000001</v>
      </c>
      <c r="C8" s="2">
        <v>11084.852999999999</v>
      </c>
      <c r="D8" s="2">
        <v>11178.391</v>
      </c>
      <c r="E8" s="2">
        <v>9860.2900000000009</v>
      </c>
      <c r="F8" s="2">
        <f t="shared" si="5"/>
        <v>1762.0604999999996</v>
      </c>
      <c r="G8">
        <f t="shared" si="0"/>
        <v>-134.1720000000023</v>
      </c>
      <c r="H8" s="2">
        <v>9587.3179999999993</v>
      </c>
      <c r="I8" s="2">
        <v>11934.31</v>
      </c>
      <c r="J8" s="2">
        <v>9570.1790000000001</v>
      </c>
      <c r="K8" s="2">
        <v>11390.429</v>
      </c>
      <c r="L8" s="2">
        <f t="shared" si="6"/>
        <v>3620.5589999999993</v>
      </c>
      <c r="M8">
        <f t="shared" si="1"/>
        <v>-156.45949999999721</v>
      </c>
      <c r="N8" s="2">
        <v>11478.259</v>
      </c>
      <c r="O8" s="2">
        <v>2130.723</v>
      </c>
      <c r="P8" s="2">
        <v>9555.6360000000004</v>
      </c>
      <c r="Q8" s="2">
        <v>9592.1880000000001</v>
      </c>
      <c r="R8" s="2">
        <f t="shared" si="7"/>
        <v>1189.201500000001</v>
      </c>
      <c r="S8">
        <f t="shared" si="2"/>
        <v>-129.39400000000023</v>
      </c>
      <c r="T8" s="2">
        <v>9486.6329999999998</v>
      </c>
      <c r="U8" s="2">
        <v>10494.159</v>
      </c>
      <c r="V8" s="2">
        <v>7853.2160000000003</v>
      </c>
      <c r="W8" s="2">
        <v>11077.397999999999</v>
      </c>
      <c r="X8" s="2">
        <f t="shared" si="8"/>
        <v>4545.3457500000004</v>
      </c>
      <c r="Y8" s="2"/>
      <c r="Z8" s="2"/>
      <c r="AA8" s="2"/>
      <c r="AB8" s="2"/>
      <c r="AC8" s="2"/>
      <c r="AD8" s="2">
        <f t="shared" si="3"/>
        <v>281.63100000000122</v>
      </c>
      <c r="AE8" s="2"/>
      <c r="AF8" s="2"/>
      <c r="AG8" s="2"/>
      <c r="AH8" s="2"/>
      <c r="AI8" s="2"/>
      <c r="AJ8" s="2"/>
      <c r="AK8" s="2"/>
      <c r="AL8" s="2"/>
      <c r="AM8" s="2"/>
      <c r="AN8" s="2"/>
      <c r="AO8" s="2"/>
      <c r="AP8" s="2"/>
      <c r="AQ8" s="2"/>
      <c r="AR8" s="2"/>
      <c r="AS8" s="2"/>
      <c r="AT8" s="2"/>
      <c r="AU8" s="2"/>
      <c r="AV8" s="2"/>
      <c r="AW8" s="2"/>
      <c r="AX8" s="2"/>
      <c r="AY8" s="2"/>
      <c r="AZ8" s="2"/>
      <c r="BA8" s="2"/>
      <c r="BB8" s="2"/>
      <c r="BC8" s="2"/>
      <c r="BD8" s="2"/>
      <c r="BE8" s="2"/>
      <c r="BF8" s="2"/>
      <c r="BG8" s="2"/>
      <c r="BH8" s="2"/>
      <c r="BI8" s="2"/>
      <c r="BJ8" s="2"/>
      <c r="BK8" s="2"/>
      <c r="BL8" s="2"/>
      <c r="BM8" s="2"/>
      <c r="BN8" s="2"/>
      <c r="BO8" s="2"/>
      <c r="BP8" s="2"/>
      <c r="BQ8" s="2"/>
      <c r="BR8" s="2"/>
      <c r="BS8" s="2"/>
      <c r="BT8" s="2"/>
      <c r="BU8" s="2"/>
      <c r="BV8" s="2"/>
      <c r="BW8" s="2"/>
      <c r="BX8" s="2"/>
      <c r="BY8" s="2"/>
      <c r="BZ8" s="2"/>
      <c r="CA8" s="2"/>
      <c r="CB8" s="2"/>
      <c r="CC8" s="2"/>
      <c r="CD8" s="2"/>
      <c r="CE8" s="2"/>
    </row>
    <row r="9" spans="1:83" ht="14" x14ac:dyDescent="0.3">
      <c r="A9" s="2">
        <f t="shared" si="4"/>
        <v>3.5</v>
      </c>
      <c r="B9" s="2">
        <v>2919.587</v>
      </c>
      <c r="C9" s="2">
        <v>11051.933000000001</v>
      </c>
      <c r="D9" s="2">
        <v>11146.603999999999</v>
      </c>
      <c r="E9" s="2">
        <v>9826.1550000000007</v>
      </c>
      <c r="F9" s="2">
        <f t="shared" si="5"/>
        <v>1736.0697500000006</v>
      </c>
      <c r="G9">
        <f t="shared" si="0"/>
        <v>-162.2554999999993</v>
      </c>
      <c r="H9" s="2">
        <v>9541.0519999999997</v>
      </c>
      <c r="I9" s="2">
        <v>11285.302</v>
      </c>
      <c r="J9" s="2">
        <v>9536.5879999999997</v>
      </c>
      <c r="K9" s="2">
        <v>11346.182000000001</v>
      </c>
      <c r="L9" s="2">
        <f t="shared" si="6"/>
        <v>3427.280999999999</v>
      </c>
      <c r="M9">
        <f t="shared" si="1"/>
        <v>-181.44050000000425</v>
      </c>
      <c r="N9" s="2">
        <v>11452.26</v>
      </c>
      <c r="O9" s="2">
        <v>2114.5039999999999</v>
      </c>
      <c r="P9" s="2">
        <v>9500.3979999999992</v>
      </c>
      <c r="Q9" s="2">
        <v>9537.241</v>
      </c>
      <c r="R9" s="2">
        <f t="shared" si="7"/>
        <v>1151.1007499999996</v>
      </c>
      <c r="S9">
        <f t="shared" si="2"/>
        <v>-94.328999999999724</v>
      </c>
      <c r="T9" s="2">
        <v>9472.3410000000003</v>
      </c>
      <c r="U9" s="2">
        <v>10462.781000000001</v>
      </c>
      <c r="V9" s="2">
        <v>7843.7780000000002</v>
      </c>
      <c r="W9" s="2">
        <v>11048.272000000001</v>
      </c>
      <c r="X9" s="2">
        <f t="shared" si="8"/>
        <v>4521.3647500000006</v>
      </c>
      <c r="Y9" s="2"/>
      <c r="Z9" s="2"/>
      <c r="AA9" s="2"/>
      <c r="AB9" s="2"/>
      <c r="AC9" s="2"/>
      <c r="AD9" s="2">
        <f t="shared" si="3"/>
        <v>-135.79550000000381</v>
      </c>
      <c r="AE9" s="2"/>
      <c r="AF9" s="2"/>
      <c r="AG9" s="2"/>
      <c r="AH9" s="2"/>
      <c r="AI9" s="2"/>
      <c r="AJ9" s="2"/>
      <c r="AK9" s="2"/>
      <c r="AL9" s="2"/>
      <c r="AM9" s="2"/>
      <c r="AN9" s="2"/>
      <c r="AO9" s="2"/>
      <c r="AP9" s="2"/>
      <c r="AQ9" s="2"/>
      <c r="AR9" s="2"/>
      <c r="AS9" s="2"/>
      <c r="AT9" s="2"/>
      <c r="AU9" s="2"/>
      <c r="AV9" s="2"/>
      <c r="AW9" s="2"/>
      <c r="AX9" s="2"/>
      <c r="AY9" s="2"/>
      <c r="AZ9" s="2"/>
      <c r="BA9" s="2"/>
      <c r="BB9" s="2"/>
      <c r="BC9" s="2"/>
      <c r="BD9" s="2"/>
      <c r="BE9" s="2"/>
      <c r="BF9" s="2"/>
      <c r="BG9" s="2"/>
      <c r="BH9" s="2"/>
      <c r="BI9" s="2"/>
      <c r="BJ9" s="2"/>
      <c r="BK9" s="2"/>
      <c r="BL9" s="2"/>
      <c r="BM9" s="2"/>
      <c r="BN9" s="2"/>
      <c r="BO9" s="2"/>
      <c r="BP9" s="2"/>
      <c r="BQ9" s="3"/>
      <c r="BR9" s="2"/>
      <c r="BS9" s="2"/>
      <c r="BT9" s="2"/>
      <c r="BU9" s="2"/>
      <c r="BV9" s="2"/>
      <c r="BW9" s="2"/>
      <c r="BX9" s="2"/>
      <c r="BY9" s="2"/>
      <c r="BZ9" s="2"/>
      <c r="CA9" s="2"/>
      <c r="CB9" s="2"/>
      <c r="CC9" s="2"/>
      <c r="CD9" s="2"/>
      <c r="CE9" s="2"/>
    </row>
    <row r="10" spans="1:83" ht="14" x14ac:dyDescent="0.3">
      <c r="A10" s="2">
        <f t="shared" si="4"/>
        <v>4</v>
      </c>
      <c r="B10" s="2">
        <v>2894.1930000000002</v>
      </c>
      <c r="C10" s="2">
        <v>10968.629000000001</v>
      </c>
      <c r="D10" s="2">
        <v>11066.047</v>
      </c>
      <c r="E10" s="2">
        <v>9747.0660000000007</v>
      </c>
      <c r="F10" s="2">
        <f t="shared" si="5"/>
        <v>1668.9837499999994</v>
      </c>
      <c r="G10">
        <f t="shared" si="0"/>
        <v>-123.93349999999919</v>
      </c>
      <c r="H10" s="2">
        <v>9471.4349999999995</v>
      </c>
      <c r="I10" s="2">
        <v>11208.543</v>
      </c>
      <c r="J10" s="2">
        <v>9466.3590000000004</v>
      </c>
      <c r="K10" s="2">
        <v>11249.868</v>
      </c>
      <c r="L10" s="2">
        <f t="shared" si="6"/>
        <v>3349.0512500000004</v>
      </c>
      <c r="M10">
        <f t="shared" si="1"/>
        <v>-166.11799999999857</v>
      </c>
      <c r="N10" s="2">
        <v>11337.235000000001</v>
      </c>
      <c r="O10" s="2">
        <v>2102.2139999999999</v>
      </c>
      <c r="P10" s="2">
        <v>9434.7970000000005</v>
      </c>
      <c r="Q10" s="2">
        <v>9471.3690000000006</v>
      </c>
      <c r="R10" s="2">
        <f t="shared" si="7"/>
        <v>1086.4037499999995</v>
      </c>
      <c r="S10">
        <f t="shared" si="2"/>
        <v>-189.16550000000097</v>
      </c>
      <c r="T10" s="2">
        <v>9367.6370000000006</v>
      </c>
      <c r="U10" s="2">
        <v>10366.684999999999</v>
      </c>
      <c r="V10" s="2">
        <v>8273.857</v>
      </c>
      <c r="W10" s="2">
        <v>10937.46</v>
      </c>
      <c r="X10" s="2">
        <f t="shared" si="8"/>
        <v>4662.1802500000013</v>
      </c>
      <c r="Y10" s="2"/>
      <c r="Z10" s="2"/>
      <c r="AA10" s="2"/>
      <c r="AB10" s="2"/>
      <c r="AC10" s="2"/>
      <c r="AD10" s="2">
        <f t="shared" si="3"/>
        <v>370.07949999999983</v>
      </c>
      <c r="AE10" s="2"/>
      <c r="AF10" s="2"/>
      <c r="AG10" s="2"/>
      <c r="AH10" s="2"/>
      <c r="AI10" s="2"/>
      <c r="AJ10" s="2"/>
      <c r="AK10" s="2"/>
      <c r="AL10" s="2"/>
      <c r="AM10" s="2"/>
      <c r="AN10" s="2"/>
      <c r="AO10" s="2"/>
      <c r="AP10" s="2"/>
      <c r="AQ10" s="2"/>
      <c r="AR10" s="2"/>
      <c r="AS10" s="2"/>
      <c r="AT10" s="2"/>
      <c r="AU10" s="2"/>
      <c r="AV10" s="2"/>
      <c r="AW10" s="2"/>
      <c r="AX10" s="2"/>
      <c r="AY10" s="2"/>
      <c r="AZ10" s="2"/>
      <c r="BA10" s="2"/>
      <c r="BB10" s="2"/>
      <c r="BC10" s="2"/>
      <c r="BD10" s="2"/>
      <c r="BE10" s="2"/>
      <c r="BF10" s="2"/>
      <c r="BG10" s="2"/>
      <c r="BH10" s="2"/>
      <c r="BI10" s="2"/>
      <c r="BJ10" s="2"/>
      <c r="BK10" s="2"/>
      <c r="BL10" s="2"/>
      <c r="BM10" s="2"/>
      <c r="BN10" s="2"/>
      <c r="BO10" s="2"/>
      <c r="BP10" s="2"/>
      <c r="BQ10" s="2"/>
      <c r="BR10" s="2"/>
      <c r="BS10" s="2"/>
      <c r="BT10" s="2"/>
      <c r="BU10" s="2"/>
      <c r="BV10" s="2"/>
      <c r="BW10" s="2"/>
      <c r="BX10" s="2"/>
      <c r="BY10" s="2"/>
      <c r="BZ10" s="2"/>
      <c r="CA10" s="2"/>
      <c r="CB10" s="2"/>
      <c r="CC10" s="2"/>
      <c r="CD10" s="2"/>
      <c r="CE10" s="2"/>
    </row>
    <row r="11" spans="1:83" ht="14" x14ac:dyDescent="0.3">
      <c r="A11" s="2">
        <f t="shared" si="4"/>
        <v>4.5</v>
      </c>
      <c r="B11" s="2">
        <v>2866.0239999999999</v>
      </c>
      <c r="C11" s="2">
        <v>10862.968999999999</v>
      </c>
      <c r="D11" s="2">
        <v>10958.505999999999</v>
      </c>
      <c r="E11" s="2">
        <v>9663.9249999999993</v>
      </c>
      <c r="F11" s="2">
        <f t="shared" si="5"/>
        <v>1587.8559999999998</v>
      </c>
      <c r="G11">
        <f t="shared" si="0"/>
        <v>-71.266499999997905</v>
      </c>
      <c r="H11" s="2">
        <v>9381.0969999999998</v>
      </c>
      <c r="I11" s="2">
        <v>11115.569</v>
      </c>
      <c r="J11" s="2">
        <v>9382.8529999999992</v>
      </c>
      <c r="K11" s="2">
        <v>11153.805</v>
      </c>
      <c r="L11" s="2">
        <f t="shared" si="6"/>
        <v>3258.3309999999983</v>
      </c>
      <c r="M11">
        <f t="shared" si="1"/>
        <v>-81.270499999998719</v>
      </c>
      <c r="N11" s="2">
        <v>11256.294</v>
      </c>
      <c r="O11" s="2">
        <v>2091.933</v>
      </c>
      <c r="P11" s="2">
        <v>9385.73</v>
      </c>
      <c r="Q11" s="2">
        <v>9423</v>
      </c>
      <c r="R11" s="2">
        <f t="shared" si="7"/>
        <v>1039.2392499999996</v>
      </c>
      <c r="S11">
        <f t="shared" si="2"/>
        <v>-45.530499999997119</v>
      </c>
      <c r="T11" s="2">
        <v>9311.0280000000002</v>
      </c>
      <c r="U11" s="2">
        <v>10312.043</v>
      </c>
      <c r="V11" s="2">
        <v>8221.0079999999998</v>
      </c>
      <c r="W11" s="2">
        <v>10876.736999999999</v>
      </c>
      <c r="X11" s="2">
        <f t="shared" si="8"/>
        <v>4594.2824999999993</v>
      </c>
      <c r="Y11" s="2"/>
      <c r="Z11" s="2"/>
      <c r="AA11" s="2"/>
      <c r="AB11" s="2"/>
      <c r="AC11" s="2"/>
      <c r="AD11" s="2">
        <f t="shared" si="3"/>
        <v>19.488500000003114</v>
      </c>
      <c r="AE11" s="2"/>
      <c r="AF11" s="2"/>
      <c r="AG11" s="2"/>
      <c r="AH11" s="2"/>
      <c r="AI11" s="2"/>
      <c r="AJ11" s="2"/>
      <c r="AK11" s="2"/>
      <c r="AL11" s="2"/>
      <c r="AM11" s="2"/>
      <c r="AN11" s="2"/>
      <c r="AO11" s="2"/>
      <c r="AP11" s="2"/>
      <c r="AQ11" s="2"/>
      <c r="AR11" s="2"/>
      <c r="AS11" s="2"/>
      <c r="AT11" s="3"/>
      <c r="AU11" s="2"/>
      <c r="AV11" s="2"/>
      <c r="AW11" s="2"/>
      <c r="AX11" s="2"/>
      <c r="AY11" s="2"/>
      <c r="AZ11" s="2"/>
      <c r="BA11" s="2"/>
      <c r="BB11" s="2"/>
      <c r="BC11" s="2"/>
      <c r="BD11" s="2"/>
      <c r="BE11" s="2"/>
      <c r="BF11" s="2"/>
      <c r="BG11" s="2"/>
      <c r="BH11" s="2"/>
      <c r="BI11" s="2"/>
      <c r="BJ11" s="2"/>
      <c r="BK11" s="2"/>
      <c r="BL11" s="2"/>
      <c r="BM11" s="2"/>
      <c r="BN11" s="2"/>
      <c r="BO11" s="2"/>
      <c r="BP11" s="2"/>
      <c r="BQ11" s="2"/>
      <c r="BR11" s="2"/>
      <c r="BS11" s="2"/>
      <c r="BT11" s="2"/>
      <c r="BU11" s="2"/>
      <c r="BV11" s="2"/>
      <c r="BW11" s="2"/>
      <c r="BX11" s="2"/>
      <c r="BY11" s="2"/>
      <c r="BZ11" s="2"/>
      <c r="CA11" s="2"/>
      <c r="CB11" s="2"/>
      <c r="CC11" s="2"/>
      <c r="CD11" s="2"/>
      <c r="CE11" s="2"/>
    </row>
    <row r="12" spans="1:83" ht="14" x14ac:dyDescent="0.3">
      <c r="A12" s="2">
        <f t="shared" si="4"/>
        <v>5</v>
      </c>
      <c r="B12" s="2">
        <v>2842.931</v>
      </c>
      <c r="C12" s="2">
        <v>10790.53</v>
      </c>
      <c r="D12" s="2">
        <v>10880.083000000001</v>
      </c>
      <c r="E12" s="2">
        <v>9590.0130000000008</v>
      </c>
      <c r="F12" s="2">
        <f t="shared" si="5"/>
        <v>1525.8892500000002</v>
      </c>
      <c r="G12">
        <f t="shared" si="0"/>
        <v>-110.39500000000044</v>
      </c>
      <c r="H12" s="2">
        <v>9317.7039999999997</v>
      </c>
      <c r="I12" s="2">
        <v>11008.540999999999</v>
      </c>
      <c r="J12" s="2">
        <v>9306.4789999999994</v>
      </c>
      <c r="K12" s="2">
        <v>11068.364</v>
      </c>
      <c r="L12" s="2">
        <f t="shared" si="6"/>
        <v>3175.271999999999</v>
      </c>
      <c r="M12">
        <f t="shared" si="1"/>
        <v>-157.15850000000137</v>
      </c>
      <c r="N12" s="2">
        <v>11122.468999999999</v>
      </c>
      <c r="O12" s="2">
        <v>2068.3270000000002</v>
      </c>
      <c r="P12" s="2">
        <v>9275.7749999999996</v>
      </c>
      <c r="Q12" s="2">
        <v>9312.0550000000003</v>
      </c>
      <c r="R12" s="2">
        <f t="shared" si="7"/>
        <v>944.65649999999914</v>
      </c>
      <c r="S12">
        <f t="shared" si="2"/>
        <v>-122.4945000000007</v>
      </c>
      <c r="T12" s="2">
        <v>10325.553</v>
      </c>
      <c r="U12" s="2">
        <v>10258.518</v>
      </c>
      <c r="V12" s="2">
        <v>8137.35</v>
      </c>
      <c r="W12" s="2">
        <v>10769.933000000001</v>
      </c>
      <c r="X12" s="2">
        <f t="shared" si="8"/>
        <v>4779.3222499999993</v>
      </c>
      <c r="Y12" s="2"/>
      <c r="Z12" s="2"/>
      <c r="AA12" s="2"/>
      <c r="AB12" s="2"/>
      <c r="AC12" s="2"/>
      <c r="AD12" s="2">
        <f t="shared" si="3"/>
        <v>-69.70350000000326</v>
      </c>
      <c r="AE12" s="2"/>
      <c r="AF12" s="2"/>
      <c r="AG12" s="2"/>
      <c r="AH12" s="2"/>
      <c r="AI12" s="2"/>
      <c r="AJ12" s="2"/>
      <c r="AK12" s="2"/>
      <c r="AL12" s="2"/>
      <c r="AM12" s="2"/>
      <c r="AN12" s="2"/>
      <c r="AO12" s="2"/>
      <c r="AP12" s="2"/>
      <c r="AQ12" s="2"/>
      <c r="AR12" s="2"/>
      <c r="AS12" s="2"/>
      <c r="AT12" s="2"/>
      <c r="AU12" s="2"/>
      <c r="AV12" s="2"/>
      <c r="AW12" s="2"/>
      <c r="AX12" s="2"/>
      <c r="AY12" s="2"/>
      <c r="AZ12" s="2"/>
      <c r="BA12" s="2"/>
      <c r="BB12" s="2"/>
      <c r="BC12" s="2"/>
      <c r="BD12" s="2"/>
      <c r="BE12" s="2"/>
      <c r="BF12" s="2"/>
      <c r="BG12" s="2"/>
      <c r="BH12" s="2"/>
      <c r="BI12" s="2"/>
      <c r="BJ12" s="2"/>
      <c r="BK12" s="2"/>
      <c r="BL12" s="2"/>
      <c r="BM12" s="2"/>
      <c r="BN12" s="2"/>
      <c r="BO12" s="2"/>
      <c r="BP12" s="2"/>
      <c r="BQ12" s="3"/>
      <c r="BR12" s="2"/>
      <c r="BS12" s="2"/>
      <c r="BT12" s="2"/>
      <c r="BU12" s="2"/>
      <c r="BV12" s="2"/>
      <c r="BW12" s="2"/>
      <c r="BX12" s="2"/>
      <c r="BY12" s="2"/>
      <c r="BZ12" s="2"/>
      <c r="CA12" s="2"/>
      <c r="CB12" s="2"/>
      <c r="CC12" s="2"/>
      <c r="CD12" s="2"/>
      <c r="CE12" s="2"/>
    </row>
    <row r="13" spans="1:83" ht="14" x14ac:dyDescent="0.3">
      <c r="A13" s="2">
        <f t="shared" si="4"/>
        <v>5.5</v>
      </c>
      <c r="B13" s="2">
        <v>2967.8020000000001</v>
      </c>
      <c r="C13" s="2">
        <v>10744.814</v>
      </c>
      <c r="D13" s="2">
        <v>10775.833000000001</v>
      </c>
      <c r="E13" s="2">
        <v>9472.5750000000007</v>
      </c>
      <c r="F13" s="2">
        <f t="shared" si="5"/>
        <v>1490.2560000000012</v>
      </c>
      <c r="G13">
        <f t="shared" si="0"/>
        <v>29.033999999996013</v>
      </c>
      <c r="H13" s="2">
        <v>9274.0429999999997</v>
      </c>
      <c r="I13" s="2">
        <v>10978.144</v>
      </c>
      <c r="J13" s="2">
        <v>9274.5229999999992</v>
      </c>
      <c r="K13" s="2">
        <v>11011.837</v>
      </c>
      <c r="L13" s="2">
        <f t="shared" si="6"/>
        <v>3134.6367499999997</v>
      </c>
      <c r="M13">
        <f t="shared" si="1"/>
        <v>51.709000000002561</v>
      </c>
      <c r="N13" s="2">
        <v>11099.037</v>
      </c>
      <c r="O13" s="2">
        <v>2057.7910000000002</v>
      </c>
      <c r="P13" s="2">
        <v>9244.26</v>
      </c>
      <c r="Q13" s="2">
        <v>9286.4770000000008</v>
      </c>
      <c r="R13" s="2">
        <f t="shared" si="7"/>
        <v>921.89125000000058</v>
      </c>
      <c r="S13">
        <f t="shared" si="2"/>
        <v>35.252000000000407</v>
      </c>
      <c r="T13" s="2">
        <v>10554.254000000001</v>
      </c>
      <c r="U13" s="2">
        <v>10193.454</v>
      </c>
      <c r="V13" s="2">
        <v>8107.5519999999997</v>
      </c>
      <c r="W13" s="2">
        <v>10706.464</v>
      </c>
      <c r="X13" s="2">
        <f t="shared" si="8"/>
        <v>4789.0665000000008</v>
      </c>
      <c r="Y13" s="2"/>
      <c r="Z13" s="2"/>
      <c r="AA13" s="2"/>
      <c r="AB13" s="2"/>
      <c r="AC13" s="2"/>
      <c r="AD13" s="2">
        <f t="shared" si="3"/>
        <v>-8.738999999997759</v>
      </c>
      <c r="AE13" s="2"/>
      <c r="AF13" s="2"/>
      <c r="AG13" s="2"/>
      <c r="AH13" s="2"/>
      <c r="AI13" s="2"/>
      <c r="AJ13" s="2"/>
      <c r="AK13" s="2"/>
      <c r="AL13" s="2"/>
      <c r="AM13" s="2"/>
      <c r="AN13" s="2"/>
      <c r="AO13" s="2"/>
      <c r="AP13" s="2"/>
      <c r="AQ13" s="2"/>
      <c r="AR13" s="2"/>
      <c r="AS13" s="2"/>
      <c r="AT13" s="2"/>
      <c r="AU13" s="2"/>
      <c r="AV13" s="2"/>
      <c r="AW13" s="2"/>
      <c r="AX13" s="2"/>
      <c r="AY13" s="2"/>
      <c r="AZ13" s="2"/>
      <c r="BA13" s="2"/>
      <c r="BB13" s="2"/>
      <c r="BC13" s="2"/>
      <c r="BD13" s="2"/>
      <c r="BE13" s="2"/>
      <c r="BF13" s="2"/>
      <c r="BG13" s="2"/>
      <c r="BH13" s="2"/>
      <c r="BI13" s="2"/>
      <c r="BJ13" s="2"/>
      <c r="BK13" s="2"/>
      <c r="BL13" s="2"/>
      <c r="BM13" s="2"/>
      <c r="BN13" s="2"/>
      <c r="BO13" s="2"/>
      <c r="BP13" s="2"/>
      <c r="BQ13" s="2"/>
      <c r="BR13" s="2"/>
      <c r="BS13" s="2"/>
      <c r="BT13" s="2"/>
      <c r="BU13" s="2"/>
      <c r="BV13" s="2"/>
      <c r="BW13" s="2"/>
      <c r="BX13" s="2"/>
      <c r="BY13" s="2"/>
      <c r="BZ13" s="2"/>
      <c r="CA13" s="2"/>
      <c r="CB13" s="2"/>
      <c r="CC13" s="2"/>
      <c r="CD13" s="2"/>
      <c r="CE13" s="2"/>
    </row>
    <row r="14" spans="1:83" ht="14" x14ac:dyDescent="0.3">
      <c r="A14" s="2">
        <f t="shared" si="4"/>
        <v>6</v>
      </c>
      <c r="B14" s="2">
        <v>2814.038</v>
      </c>
      <c r="C14" s="2">
        <v>10656.244000000001</v>
      </c>
      <c r="D14" s="2">
        <v>10769.681</v>
      </c>
      <c r="E14" s="2">
        <v>9500.2710000000006</v>
      </c>
      <c r="F14" s="2">
        <f t="shared" si="5"/>
        <v>1435.058500000001</v>
      </c>
      <c r="G14">
        <f t="shared" si="0"/>
        <v>298.06000000000495</v>
      </c>
      <c r="H14" s="2">
        <v>9192.3809999999994</v>
      </c>
      <c r="I14" s="2">
        <v>10895.581</v>
      </c>
      <c r="J14" s="2">
        <v>9210.4509999999991</v>
      </c>
      <c r="K14" s="2">
        <v>10925.816999999999</v>
      </c>
      <c r="L14" s="2">
        <f t="shared" si="6"/>
        <v>3056.057499999999</v>
      </c>
      <c r="M14">
        <f t="shared" si="1"/>
        <v>-41.031000000002678</v>
      </c>
      <c r="N14" s="2">
        <v>11011.233</v>
      </c>
      <c r="O14" s="2">
        <v>2075.0709999999999</v>
      </c>
      <c r="P14" s="2">
        <v>9166.4639999999999</v>
      </c>
      <c r="Q14" s="2">
        <v>9189.8080000000009</v>
      </c>
      <c r="R14" s="2">
        <f t="shared" si="7"/>
        <v>860.64400000000023</v>
      </c>
      <c r="S14">
        <f t="shared" si="2"/>
        <v>-62.457500000002256</v>
      </c>
      <c r="T14" s="2">
        <v>10535.862999999999</v>
      </c>
      <c r="U14" s="2">
        <v>10168.249</v>
      </c>
      <c r="V14" s="2">
        <v>8072.2489999999998</v>
      </c>
      <c r="W14" s="2">
        <v>10680.278</v>
      </c>
      <c r="X14" s="2">
        <f t="shared" si="8"/>
        <v>4754.2147499999992</v>
      </c>
      <c r="Y14" s="2"/>
      <c r="Z14" s="2"/>
      <c r="AA14" s="2"/>
      <c r="AB14" s="2"/>
      <c r="AC14" s="2"/>
      <c r="AD14" s="2">
        <f t="shared" si="3"/>
        <v>-73.994000000002416</v>
      </c>
      <c r="AE14" s="2"/>
      <c r="AF14" s="2"/>
      <c r="AG14" s="2"/>
      <c r="AH14" s="2"/>
      <c r="AI14" s="2"/>
      <c r="AJ14" s="2"/>
      <c r="AK14" s="2"/>
      <c r="AL14" s="2"/>
      <c r="AM14" s="2"/>
      <c r="AN14" s="2"/>
      <c r="AO14" s="2"/>
      <c r="AP14" s="2"/>
      <c r="AQ14" s="2"/>
      <c r="AR14" s="2"/>
      <c r="AS14" s="2"/>
      <c r="AT14" s="2"/>
      <c r="AU14" s="2"/>
      <c r="AV14" s="2"/>
      <c r="AW14" s="2"/>
      <c r="AX14" s="2"/>
      <c r="AY14" s="2"/>
      <c r="AZ14" s="2"/>
      <c r="BA14" s="2"/>
      <c r="BB14" s="2"/>
      <c r="BC14" s="2"/>
      <c r="BD14" s="2"/>
      <c r="BE14" s="2"/>
      <c r="BF14" s="2"/>
      <c r="BG14" s="2"/>
      <c r="BH14" s="2"/>
      <c r="BI14" s="2"/>
      <c r="BJ14" s="2"/>
      <c r="BK14" s="2"/>
      <c r="BL14" s="2"/>
      <c r="BM14" s="2"/>
      <c r="BN14" s="2"/>
      <c r="BO14" s="2"/>
      <c r="BP14" s="2"/>
      <c r="BQ14" s="2"/>
      <c r="BR14" s="2"/>
      <c r="BS14" s="2"/>
      <c r="BT14" s="2"/>
      <c r="BU14" s="2"/>
      <c r="BV14" s="2"/>
      <c r="BW14" s="2"/>
      <c r="BX14" s="2"/>
      <c r="BY14" s="2"/>
      <c r="BZ14" s="2"/>
      <c r="CA14" s="2"/>
      <c r="CB14" s="2"/>
      <c r="CC14" s="2"/>
      <c r="CD14" s="2"/>
      <c r="CE14" s="2"/>
    </row>
    <row r="15" spans="1:83" ht="14" x14ac:dyDescent="0.3">
      <c r="A15" s="2">
        <f t="shared" si="4"/>
        <v>6.5</v>
      </c>
      <c r="B15" s="2">
        <v>2816.4070000000002</v>
      </c>
      <c r="C15" s="2">
        <v>10682.04</v>
      </c>
      <c r="D15" s="2">
        <v>10790.695</v>
      </c>
      <c r="E15" s="2">
        <v>9509.16</v>
      </c>
      <c r="F15" s="2">
        <f t="shared" si="5"/>
        <v>1449.575499999999</v>
      </c>
      <c r="G15">
        <f t="shared" si="0"/>
        <v>-32.374000000003434</v>
      </c>
      <c r="H15" s="2">
        <v>9228.8130000000001</v>
      </c>
      <c r="I15" s="2">
        <v>10918.375</v>
      </c>
      <c r="J15" s="2">
        <v>9223.1190000000006</v>
      </c>
      <c r="K15" s="2">
        <v>10957.341</v>
      </c>
      <c r="L15" s="2">
        <f t="shared" si="6"/>
        <v>3081.9120000000003</v>
      </c>
      <c r="M15">
        <f t="shared" si="1"/>
        <v>-390.42900000000009</v>
      </c>
      <c r="N15" s="2">
        <v>11034.865</v>
      </c>
      <c r="O15" s="2">
        <v>2052.2379999999998</v>
      </c>
      <c r="P15" s="2">
        <v>9205.8240000000005</v>
      </c>
      <c r="Q15" s="2">
        <v>9220.1530000000002</v>
      </c>
      <c r="R15" s="2">
        <f t="shared" si="7"/>
        <v>878.27000000000044</v>
      </c>
      <c r="S15">
        <f t="shared" si="2"/>
        <v>-2.6899999999986903</v>
      </c>
      <c r="T15" s="2">
        <v>10526.369000000001</v>
      </c>
      <c r="U15" s="2">
        <v>10171.097</v>
      </c>
      <c r="V15" s="2">
        <v>8065.4089999999997</v>
      </c>
      <c r="W15" s="2">
        <v>10685.454</v>
      </c>
      <c r="X15" s="2">
        <f t="shared" si="8"/>
        <v>4749.8452500000003</v>
      </c>
      <c r="Y15" s="2"/>
      <c r="Z15" s="2"/>
      <c r="AA15" s="2"/>
      <c r="AB15" s="2"/>
      <c r="AC15" s="2"/>
      <c r="AD15" s="2">
        <f t="shared" si="3"/>
        <v>-529.97299999999814</v>
      </c>
      <c r="AE15" s="2"/>
      <c r="AF15" s="2"/>
      <c r="AG15" s="2"/>
      <c r="AH15" s="2"/>
      <c r="AI15" s="2"/>
      <c r="AJ15" s="2"/>
      <c r="AK15" s="2"/>
      <c r="AL15" s="2"/>
      <c r="AM15" s="2"/>
      <c r="AN15" s="2"/>
      <c r="AO15" s="2"/>
      <c r="AP15" s="2"/>
      <c r="AQ15" s="2"/>
      <c r="AR15" s="2"/>
      <c r="AS15" s="2"/>
      <c r="AT15" s="2"/>
      <c r="AU15" s="2"/>
      <c r="AV15" s="2"/>
      <c r="AW15" s="2"/>
      <c r="AX15" s="2"/>
      <c r="AY15" s="2"/>
      <c r="AZ15" s="2"/>
      <c r="BA15" s="2"/>
      <c r="BB15" s="2"/>
      <c r="BC15" s="2"/>
      <c r="BD15" s="2"/>
      <c r="BE15" s="2"/>
      <c r="BF15" s="2"/>
      <c r="BG15" s="2"/>
      <c r="BH15" s="2"/>
      <c r="BI15" s="2"/>
      <c r="BJ15" s="3"/>
      <c r="BK15" s="2"/>
      <c r="BL15" s="2"/>
      <c r="BM15" s="2"/>
      <c r="BN15" s="2"/>
      <c r="BO15" s="2"/>
      <c r="BP15" s="2"/>
      <c r="BQ15" s="2"/>
      <c r="BR15" s="2"/>
      <c r="BS15" s="2"/>
      <c r="BT15" s="2"/>
      <c r="BU15" s="2"/>
      <c r="BV15" s="2"/>
      <c r="BW15" s="2"/>
      <c r="BX15" s="2"/>
      <c r="BY15" s="2"/>
      <c r="BZ15" s="2"/>
      <c r="CA15" s="2"/>
      <c r="CB15" s="2"/>
      <c r="CC15" s="2"/>
      <c r="CD15" s="2"/>
      <c r="CE15" s="2"/>
    </row>
    <row r="16" spans="1:83" ht="14" x14ac:dyDescent="0.3">
      <c r="A16" s="2">
        <f t="shared" si="4"/>
        <v>7</v>
      </c>
      <c r="B16" s="2">
        <v>2923.0140000000001</v>
      </c>
      <c r="C16" s="2">
        <v>10558.413</v>
      </c>
      <c r="D16" s="2">
        <v>11554.119000000001</v>
      </c>
      <c r="E16" s="2">
        <v>9358.8760000000002</v>
      </c>
      <c r="F16" s="2">
        <f t="shared" si="5"/>
        <v>1598.6055000000015</v>
      </c>
      <c r="G16">
        <f t="shared" si="0"/>
        <v>-320.30199999999968</v>
      </c>
      <c r="H16" s="2">
        <v>9214.9089999999997</v>
      </c>
      <c r="I16" s="2">
        <v>10886.535</v>
      </c>
      <c r="J16" s="2">
        <v>9201.3639999999996</v>
      </c>
      <c r="K16" s="2">
        <v>10942.778</v>
      </c>
      <c r="L16" s="2">
        <f t="shared" si="6"/>
        <v>3061.3964999999989</v>
      </c>
      <c r="M16">
        <f t="shared" si="1"/>
        <v>270.31250000000364</v>
      </c>
      <c r="N16" s="2">
        <v>10998.775</v>
      </c>
      <c r="O16" s="2">
        <v>2044.2280000000001</v>
      </c>
      <c r="P16" s="2">
        <v>9164.9509999999991</v>
      </c>
      <c r="Q16" s="2">
        <v>9180.2109999999993</v>
      </c>
      <c r="R16" s="2">
        <f t="shared" si="7"/>
        <v>847.04124999999931</v>
      </c>
      <c r="S16">
        <f t="shared" si="2"/>
        <v>-47.557999999999083</v>
      </c>
      <c r="T16" s="2">
        <v>10493.148999999999</v>
      </c>
      <c r="U16" s="2">
        <v>10141.856</v>
      </c>
      <c r="V16" s="2">
        <v>8037.2659999999996</v>
      </c>
      <c r="W16" s="2">
        <v>10643.813</v>
      </c>
      <c r="X16" s="2">
        <f t="shared" si="8"/>
        <v>4712.8482499999991</v>
      </c>
      <c r="Y16" s="2"/>
      <c r="Z16" s="2"/>
      <c r="AA16" s="2"/>
      <c r="AB16" s="2"/>
      <c r="AC16" s="2"/>
      <c r="AD16" s="2">
        <f t="shared" si="3"/>
        <v>442.87650000000212</v>
      </c>
      <c r="AE16" s="2"/>
      <c r="AF16" s="2"/>
      <c r="AG16" s="2"/>
      <c r="AH16" s="2"/>
      <c r="AI16" s="2"/>
      <c r="AJ16" s="2"/>
      <c r="AK16" s="2"/>
      <c r="AL16" s="2"/>
      <c r="AM16" s="2"/>
      <c r="AN16" s="2"/>
      <c r="AO16" s="2"/>
      <c r="AP16" s="2"/>
      <c r="AQ16" s="2"/>
      <c r="AR16" s="2"/>
      <c r="AS16" s="2"/>
      <c r="AT16" s="2"/>
      <c r="AU16" s="2"/>
      <c r="AV16" s="2"/>
      <c r="AW16" s="2"/>
      <c r="AX16" s="2"/>
      <c r="AY16" s="2"/>
      <c r="AZ16" s="2"/>
      <c r="BA16" s="2"/>
      <c r="BB16" s="2"/>
      <c r="BC16" s="2"/>
      <c r="BD16" s="2"/>
      <c r="BE16" s="2"/>
      <c r="BF16" s="2"/>
      <c r="BG16" s="2"/>
      <c r="BH16" s="2"/>
      <c r="BI16" s="2"/>
      <c r="BJ16" s="2"/>
      <c r="BK16" s="2"/>
      <c r="BL16" s="2"/>
      <c r="BM16" s="2"/>
      <c r="BN16" s="2"/>
      <c r="BO16" s="2"/>
      <c r="BP16" s="2"/>
      <c r="BQ16" s="2"/>
      <c r="BR16" s="2"/>
      <c r="BS16" s="2"/>
      <c r="BT16" s="2"/>
      <c r="BU16" s="2"/>
      <c r="BV16" s="2"/>
      <c r="BW16" s="2"/>
      <c r="BX16" s="2"/>
      <c r="BY16" s="2"/>
      <c r="BZ16" s="2"/>
      <c r="CA16" s="2"/>
      <c r="CB16" s="2"/>
      <c r="CC16" s="2"/>
      <c r="CD16" s="2"/>
      <c r="CE16" s="2"/>
    </row>
    <row r="17" spans="1:83" ht="14" x14ac:dyDescent="0.3">
      <c r="A17" s="2">
        <f t="shared" si="4"/>
        <v>7.5</v>
      </c>
      <c r="B17" s="2">
        <v>3101.2730000000001</v>
      </c>
      <c r="C17" s="2">
        <v>10495.6</v>
      </c>
      <c r="D17" s="2">
        <v>11443.463</v>
      </c>
      <c r="E17" s="2">
        <v>9289.3379999999997</v>
      </c>
      <c r="F17" s="2">
        <f t="shared" si="5"/>
        <v>1582.4184999999998</v>
      </c>
      <c r="G17">
        <f t="shared" si="0"/>
        <v>343.77600000000166</v>
      </c>
      <c r="H17" s="2">
        <v>8991.5779999999995</v>
      </c>
      <c r="I17" s="2">
        <v>10594.025</v>
      </c>
      <c r="J17" s="2">
        <v>9221.2090000000007</v>
      </c>
      <c r="K17" s="2">
        <v>10657.915999999999</v>
      </c>
      <c r="L17" s="2">
        <f t="shared" si="6"/>
        <v>2866.1819999999989</v>
      </c>
      <c r="M17">
        <f t="shared" si="1"/>
        <v>-85.173500000000786</v>
      </c>
      <c r="N17" s="2">
        <v>10724.254000000001</v>
      </c>
      <c r="O17" s="2">
        <v>2061.7939999999999</v>
      </c>
      <c r="P17" s="2">
        <v>9336.9189999999999</v>
      </c>
      <c r="Q17" s="2">
        <v>9259.8179999999993</v>
      </c>
      <c r="R17" s="2">
        <f t="shared" si="7"/>
        <v>845.69624999999996</v>
      </c>
      <c r="S17">
        <f t="shared" si="2"/>
        <v>-130.25400000000081</v>
      </c>
      <c r="T17" s="2">
        <v>10229.463</v>
      </c>
      <c r="U17" s="2">
        <v>9919.5550000000003</v>
      </c>
      <c r="V17" s="2">
        <v>7861.4369999999999</v>
      </c>
      <c r="W17" s="2">
        <v>10382.989</v>
      </c>
      <c r="X17" s="2">
        <f t="shared" si="8"/>
        <v>4447.86175</v>
      </c>
      <c r="Y17" s="2"/>
      <c r="Z17" s="2"/>
      <c r="AA17" s="2"/>
      <c r="AB17" s="2"/>
      <c r="AC17" s="2"/>
      <c r="AD17" s="2">
        <f t="shared" si="3"/>
        <v>-14.519500000002154</v>
      </c>
      <c r="AE17" s="2"/>
      <c r="AF17" s="2"/>
      <c r="AG17" s="2"/>
      <c r="AH17" s="2"/>
      <c r="AI17" s="2"/>
      <c r="AJ17" s="2"/>
      <c r="AK17" s="2"/>
      <c r="AL17" s="2"/>
      <c r="AM17" s="2"/>
      <c r="AN17" s="2"/>
      <c r="AO17" s="2"/>
      <c r="AP17" s="2"/>
      <c r="AQ17" s="2"/>
      <c r="AR17" s="2"/>
      <c r="AS17" s="2"/>
      <c r="AT17" s="2"/>
      <c r="AU17" s="2"/>
      <c r="AV17" s="2"/>
      <c r="AW17" s="2"/>
      <c r="AX17" s="2"/>
      <c r="AY17" s="2"/>
      <c r="AZ17" s="2"/>
      <c r="BA17" s="2"/>
      <c r="BB17" s="2"/>
      <c r="BC17" s="2"/>
      <c r="BD17" s="2"/>
      <c r="BE17" s="2"/>
      <c r="BF17" s="2"/>
      <c r="BG17" s="2"/>
      <c r="BH17" s="2"/>
      <c r="BI17" s="2"/>
      <c r="BJ17" s="2"/>
      <c r="BK17" s="2"/>
      <c r="BL17" s="2"/>
      <c r="BM17" s="2"/>
      <c r="BN17" s="2"/>
      <c r="BO17" s="2"/>
      <c r="BP17" s="2"/>
      <c r="BQ17" s="2"/>
      <c r="BR17" s="2"/>
      <c r="BS17" s="2"/>
      <c r="BT17" s="2"/>
      <c r="BU17" s="2"/>
      <c r="BV17" s="2"/>
      <c r="BW17" s="2"/>
      <c r="BX17" s="2"/>
      <c r="BY17" s="2"/>
      <c r="BZ17" s="2"/>
      <c r="CA17" s="2"/>
      <c r="CB17" s="2"/>
      <c r="CC17" s="2"/>
      <c r="CD17" s="2"/>
      <c r="CE17" s="2"/>
    </row>
    <row r="18" spans="1:83" ht="14" x14ac:dyDescent="0.3">
      <c r="A18" s="2">
        <f t="shared" si="4"/>
        <v>8</v>
      </c>
      <c r="B18" s="2">
        <v>2940.6779999999999</v>
      </c>
      <c r="C18" s="2">
        <v>10606.995000000001</v>
      </c>
      <c r="D18" s="2">
        <v>10697.815000000001</v>
      </c>
      <c r="E18" s="2">
        <v>9443.5820000000003</v>
      </c>
      <c r="F18" s="2">
        <f t="shared" si="5"/>
        <v>1422.2674999999999</v>
      </c>
      <c r="G18">
        <f t="shared" si="0"/>
        <v>73.578000000001339</v>
      </c>
      <c r="H18" s="2">
        <v>9154.6769999999997</v>
      </c>
      <c r="I18" s="2">
        <v>10826.731</v>
      </c>
      <c r="J18" s="2">
        <v>9156.4290000000001</v>
      </c>
      <c r="K18" s="2">
        <v>10867.516</v>
      </c>
      <c r="L18" s="2">
        <f t="shared" si="6"/>
        <v>3001.3382500000007</v>
      </c>
      <c r="M18">
        <f t="shared" si="1"/>
        <v>-11.730500000001484</v>
      </c>
      <c r="N18" s="2">
        <v>10949.97</v>
      </c>
      <c r="O18" s="2">
        <v>2071.83</v>
      </c>
      <c r="P18" s="2">
        <v>9126.1080000000002</v>
      </c>
      <c r="Q18" s="2">
        <v>9139.7610000000004</v>
      </c>
      <c r="R18" s="2">
        <f t="shared" si="7"/>
        <v>821.91725000000042</v>
      </c>
      <c r="S18">
        <f t="shared" si="2"/>
        <v>-39.697499999998399</v>
      </c>
      <c r="T18" s="2">
        <v>10465.752</v>
      </c>
      <c r="U18" s="2">
        <v>10098.029</v>
      </c>
      <c r="V18" s="2">
        <v>8007.6949999999997</v>
      </c>
      <c r="W18" s="2">
        <v>10604.029</v>
      </c>
      <c r="X18" s="2">
        <f t="shared" si="8"/>
        <v>4669.3000000000011</v>
      </c>
      <c r="Y18" s="2"/>
      <c r="Z18" s="2"/>
      <c r="AA18" s="2"/>
      <c r="AB18" s="2"/>
      <c r="AC18" s="2"/>
      <c r="AD18" s="2">
        <f t="shared" si="3"/>
        <v>-41.012000000002445</v>
      </c>
      <c r="AE18" s="2"/>
      <c r="AF18" s="2"/>
      <c r="AG18" s="2"/>
      <c r="AH18" s="2"/>
      <c r="AI18" s="2"/>
      <c r="AJ18" s="2"/>
      <c r="AK18" s="2"/>
      <c r="AL18" s="2"/>
      <c r="AM18" s="2"/>
      <c r="AN18" s="2"/>
      <c r="AO18" s="2"/>
      <c r="AP18" s="2"/>
      <c r="AQ18" s="2"/>
      <c r="AR18" s="2"/>
      <c r="AS18" s="2"/>
      <c r="AT18" s="2"/>
      <c r="AU18" s="2"/>
      <c r="AV18" s="2"/>
      <c r="AW18" s="2"/>
      <c r="AX18" s="2"/>
      <c r="AY18" s="2"/>
      <c r="AZ18" s="2"/>
      <c r="BA18" s="2"/>
      <c r="BB18" s="2"/>
      <c r="BC18" s="2"/>
      <c r="BD18" s="2"/>
      <c r="BE18" s="2"/>
      <c r="BF18" s="2"/>
      <c r="BG18" s="2"/>
      <c r="BH18" s="2"/>
      <c r="BI18" s="2"/>
      <c r="BJ18" s="2"/>
      <c r="BK18" s="2"/>
      <c r="BL18" s="2"/>
      <c r="BM18" s="2"/>
      <c r="BN18" s="2"/>
      <c r="BO18" s="2"/>
      <c r="BP18" s="2"/>
      <c r="BQ18" s="3"/>
      <c r="BR18" s="2"/>
      <c r="BS18" s="2"/>
      <c r="BT18" s="2"/>
      <c r="BU18" s="2"/>
      <c r="BV18" s="2"/>
      <c r="BW18" s="2"/>
      <c r="BX18" s="2"/>
      <c r="BY18" s="2"/>
      <c r="BZ18" s="2"/>
      <c r="CA18" s="2"/>
      <c r="CB18" s="2"/>
      <c r="CC18" s="2"/>
      <c r="CD18" s="2"/>
      <c r="CE18" s="2"/>
    </row>
    <row r="19" spans="1:83" ht="14" x14ac:dyDescent="0.3">
      <c r="A19" s="2">
        <f t="shared" si="4"/>
        <v>8.5</v>
      </c>
      <c r="B19" s="2">
        <v>3067.3220000000001</v>
      </c>
      <c r="C19" s="2">
        <v>10325.816000000001</v>
      </c>
      <c r="D19" s="2">
        <v>11801.805</v>
      </c>
      <c r="E19" s="2">
        <v>9181.6790000000001</v>
      </c>
      <c r="F19" s="2">
        <f t="shared" si="5"/>
        <v>1594.1555000000008</v>
      </c>
      <c r="G19">
        <f t="shared" si="0"/>
        <v>-480.57000000000335</v>
      </c>
      <c r="H19" s="2">
        <v>9125.8359999999993</v>
      </c>
      <c r="I19" s="2">
        <v>10763.343000000001</v>
      </c>
      <c r="J19" s="2">
        <v>9113.6239999999998</v>
      </c>
      <c r="K19" s="2">
        <v>10832.203</v>
      </c>
      <c r="L19" s="2">
        <f t="shared" si="6"/>
        <v>2958.7515000000003</v>
      </c>
      <c r="M19">
        <f t="shared" si="1"/>
        <v>65.724000000001979</v>
      </c>
      <c r="N19" s="2">
        <v>10897.897000000001</v>
      </c>
      <c r="O19" s="2">
        <v>2020.364</v>
      </c>
      <c r="P19" s="2">
        <v>9043.2240000000002</v>
      </c>
      <c r="Q19" s="2">
        <v>9065.6759999999995</v>
      </c>
      <c r="R19" s="2">
        <f t="shared" si="7"/>
        <v>756.79025000000001</v>
      </c>
      <c r="S19">
        <f t="shared" si="2"/>
        <v>93.769000000000233</v>
      </c>
      <c r="T19" s="2">
        <v>10445.199000000001</v>
      </c>
      <c r="U19" s="2">
        <v>10097.172</v>
      </c>
      <c r="V19" s="2">
        <v>8004.3090000000002</v>
      </c>
      <c r="W19" s="2">
        <v>10593.678</v>
      </c>
      <c r="X19" s="2">
        <f t="shared" si="8"/>
        <v>4662.04025</v>
      </c>
      <c r="Y19" s="2"/>
      <c r="Z19" s="2"/>
      <c r="AA19" s="2"/>
      <c r="AB19" s="2"/>
      <c r="AC19" s="2"/>
      <c r="AD19" s="2">
        <f t="shared" si="3"/>
        <v>61.047500000000582</v>
      </c>
      <c r="AE19" s="2"/>
      <c r="AF19" s="2"/>
      <c r="AG19" s="2"/>
      <c r="AH19" s="2"/>
      <c r="AI19" s="2"/>
      <c r="AJ19" s="2"/>
      <c r="AK19" s="2"/>
      <c r="AL19" s="2"/>
      <c r="AM19" s="2"/>
      <c r="AN19" s="2"/>
      <c r="AO19" s="2"/>
      <c r="AP19" s="2"/>
      <c r="AQ19" s="2"/>
      <c r="AR19" s="2"/>
      <c r="AS19" s="2"/>
      <c r="AT19" s="2"/>
      <c r="AU19" s="2"/>
      <c r="AV19" s="2"/>
      <c r="AW19" s="2"/>
      <c r="AX19" s="2"/>
      <c r="AY19" s="2"/>
      <c r="AZ19" s="2"/>
      <c r="BA19" s="2"/>
      <c r="BB19" s="2"/>
      <c r="BC19" s="2"/>
      <c r="BD19" s="2"/>
      <c r="BE19" s="2"/>
      <c r="BF19" s="2"/>
      <c r="BG19" s="2"/>
      <c r="BH19" s="2"/>
      <c r="BI19" s="2"/>
      <c r="BJ19" s="2"/>
      <c r="BK19" s="2"/>
      <c r="BL19" s="2"/>
      <c r="BM19" s="2"/>
      <c r="BN19" s="2"/>
      <c r="BO19" s="2"/>
      <c r="BP19" s="2"/>
      <c r="BQ19" s="2"/>
      <c r="BR19" s="2"/>
      <c r="BS19" s="2"/>
      <c r="BT19" s="2"/>
      <c r="BU19" s="2"/>
      <c r="BV19" s="2"/>
      <c r="BW19" s="2"/>
      <c r="BX19" s="2"/>
      <c r="BY19" s="2"/>
      <c r="BZ19" s="2"/>
      <c r="CA19" s="2"/>
      <c r="CB19" s="2"/>
      <c r="CC19" s="2"/>
      <c r="CD19" s="2"/>
      <c r="CE19" s="2"/>
    </row>
    <row r="20" spans="1:83" ht="14" x14ac:dyDescent="0.3">
      <c r="A20" s="2">
        <f t="shared" si="4"/>
        <v>9</v>
      </c>
      <c r="B20" s="2">
        <v>2910.502</v>
      </c>
      <c r="C20" s="2">
        <v>10621.128000000001</v>
      </c>
      <c r="D20" s="2">
        <v>11562.329</v>
      </c>
      <c r="E20" s="2">
        <v>9429.8189999999995</v>
      </c>
      <c r="F20" s="2">
        <f t="shared" si="5"/>
        <v>1630.9445000000014</v>
      </c>
      <c r="G20">
        <f t="shared" si="0"/>
        <v>463.51800000000003</v>
      </c>
      <c r="H20" s="2">
        <v>9119.1479999999992</v>
      </c>
      <c r="I20" s="2">
        <v>10762.334000000001</v>
      </c>
      <c r="J20" s="2">
        <v>9112.1970000000001</v>
      </c>
      <c r="K20" s="2">
        <v>10817.866</v>
      </c>
      <c r="L20" s="2">
        <f t="shared" si="6"/>
        <v>2952.8862499999996</v>
      </c>
      <c r="M20">
        <f t="shared" si="1"/>
        <v>-17.909999999999854</v>
      </c>
      <c r="N20" s="2">
        <v>10844.221</v>
      </c>
      <c r="O20" s="2">
        <v>2037.37</v>
      </c>
      <c r="P20" s="2">
        <v>9024.8639999999996</v>
      </c>
      <c r="Q20" s="2">
        <v>9041.3109999999997</v>
      </c>
      <c r="R20" s="2">
        <f t="shared" si="7"/>
        <v>736.94150000000081</v>
      </c>
      <c r="S20">
        <f t="shared" si="2"/>
        <v>-90.53150000000096</v>
      </c>
      <c r="T20" s="2">
        <v>10441.279</v>
      </c>
      <c r="U20" s="2">
        <v>10078.023999999999</v>
      </c>
      <c r="V20" s="2">
        <v>7984.4049999999997</v>
      </c>
      <c r="W20" s="2">
        <v>10585.050999999999</v>
      </c>
      <c r="X20" s="2">
        <f t="shared" si="8"/>
        <v>4641.5342499999988</v>
      </c>
      <c r="Y20" s="2"/>
      <c r="Z20" s="2"/>
      <c r="AA20" s="2"/>
      <c r="AB20" s="2"/>
      <c r="AC20" s="2"/>
      <c r="AD20" s="2">
        <f t="shared" si="3"/>
        <v>-80.185999999997875</v>
      </c>
      <c r="AE20" s="2"/>
      <c r="AF20" s="2"/>
      <c r="AG20" s="2"/>
      <c r="AH20" s="2"/>
      <c r="AI20" s="2"/>
      <c r="AJ20" s="2"/>
      <c r="AK20" s="2"/>
      <c r="AL20" s="2"/>
      <c r="AM20" s="2"/>
      <c r="AN20" s="2"/>
      <c r="AO20" s="2"/>
      <c r="AP20" s="2"/>
      <c r="AQ20" s="2"/>
      <c r="AR20" s="2"/>
      <c r="AS20" s="2"/>
      <c r="AT20" s="2"/>
      <c r="AU20" s="2"/>
      <c r="AV20" s="2"/>
      <c r="AW20" s="2"/>
      <c r="AX20" s="2"/>
      <c r="AY20" s="2"/>
      <c r="AZ20" s="2"/>
      <c r="BA20" s="2"/>
      <c r="BB20" s="2"/>
      <c r="BC20" s="2"/>
      <c r="BD20" s="2"/>
      <c r="BE20" s="2"/>
      <c r="BF20" s="2"/>
      <c r="BG20" s="2"/>
      <c r="BH20" s="2"/>
      <c r="BI20" s="2"/>
      <c r="BJ20" s="2"/>
      <c r="BK20" s="2"/>
      <c r="BL20" s="2"/>
      <c r="BM20" s="2"/>
      <c r="BN20" s="2"/>
      <c r="BO20" s="2"/>
      <c r="BP20" s="2"/>
      <c r="BQ20" s="2"/>
      <c r="BR20" s="2"/>
      <c r="BS20" s="2"/>
      <c r="BT20" s="2"/>
      <c r="BU20" s="2"/>
      <c r="BV20" s="2"/>
      <c r="BW20" s="2"/>
      <c r="BX20" s="2"/>
      <c r="BY20" s="2"/>
      <c r="BZ20" s="2"/>
      <c r="CA20" s="2"/>
      <c r="CB20" s="2"/>
      <c r="CC20" s="2"/>
      <c r="CD20" s="2"/>
      <c r="CE20" s="2"/>
    </row>
    <row r="21" spans="1:83" ht="14" x14ac:dyDescent="0.3">
      <c r="A21" s="2">
        <f t="shared" si="4"/>
        <v>9.5</v>
      </c>
      <c r="B21" s="2">
        <v>2797.1289999999999</v>
      </c>
      <c r="C21" s="2">
        <v>10600.566000000001</v>
      </c>
      <c r="D21" s="2">
        <v>10713.036</v>
      </c>
      <c r="E21" s="2">
        <v>9451.9069999999992</v>
      </c>
      <c r="F21" s="2">
        <f t="shared" si="5"/>
        <v>1390.6594999999998</v>
      </c>
      <c r="G21">
        <f t="shared" si="0"/>
        <v>-470.19049999999697</v>
      </c>
      <c r="H21" s="2">
        <v>9130.9719999999998</v>
      </c>
      <c r="I21" s="2">
        <v>10816.106</v>
      </c>
      <c r="J21" s="2">
        <v>9146.2919999999995</v>
      </c>
      <c r="K21" s="2">
        <v>10849.623</v>
      </c>
      <c r="L21" s="2">
        <f t="shared" si="6"/>
        <v>2985.7482500000006</v>
      </c>
      <c r="M21">
        <f t="shared" si="1"/>
        <v>-8.2825000000011642</v>
      </c>
      <c r="N21" s="2">
        <v>10875.295</v>
      </c>
      <c r="O21" s="2">
        <v>2037.5740000000001</v>
      </c>
      <c r="P21" s="2">
        <v>9109.7469999999994</v>
      </c>
      <c r="Q21" s="2">
        <v>9112.6880000000001</v>
      </c>
      <c r="R21" s="2">
        <f t="shared" si="7"/>
        <v>783.82600000000093</v>
      </c>
      <c r="S21">
        <f t="shared" si="2"/>
        <v>205.56199999999808</v>
      </c>
      <c r="T21" s="2">
        <v>10444.722</v>
      </c>
      <c r="U21" s="2">
        <v>10114.593999999999</v>
      </c>
      <c r="V21" s="2">
        <v>8007.1610000000001</v>
      </c>
      <c r="W21" s="2">
        <v>10591.126</v>
      </c>
      <c r="X21" s="2">
        <f t="shared" si="8"/>
        <v>4672.0579999999991</v>
      </c>
      <c r="Y21" s="2"/>
      <c r="Z21" s="2"/>
      <c r="AA21" s="2"/>
      <c r="AB21" s="2"/>
      <c r="AC21" s="2"/>
      <c r="AD21" s="2">
        <f t="shared" si="3"/>
        <v>45.216000000003987</v>
      </c>
      <c r="AE21" s="2"/>
      <c r="AF21" s="2"/>
      <c r="AG21" s="2"/>
      <c r="AH21" s="2"/>
      <c r="AI21" s="2"/>
      <c r="AJ21" s="2"/>
      <c r="AK21" s="2"/>
      <c r="AL21" s="2"/>
      <c r="AM21" s="2"/>
      <c r="AN21" s="2"/>
      <c r="AO21" s="2"/>
      <c r="AP21" s="2"/>
      <c r="AQ21" s="2"/>
      <c r="AR21" s="2"/>
      <c r="AS21" s="2"/>
      <c r="AT21" s="2"/>
      <c r="AU21" s="2"/>
      <c r="AV21" s="2"/>
      <c r="AW21" s="2"/>
      <c r="AX21" s="2"/>
      <c r="AY21" s="2"/>
      <c r="AZ21" s="2"/>
      <c r="BA21" s="2"/>
      <c r="BB21" s="2"/>
      <c r="BC21" s="2"/>
      <c r="BD21" s="2"/>
      <c r="BE21" s="2"/>
      <c r="BF21" s="2"/>
      <c r="BG21" s="2"/>
      <c r="BH21" s="2"/>
      <c r="BI21" s="2"/>
      <c r="BJ21" s="2"/>
      <c r="BK21" s="2"/>
      <c r="BL21" s="2"/>
      <c r="BM21" s="2"/>
      <c r="BN21" s="2"/>
      <c r="BO21" s="2"/>
      <c r="BP21" s="2"/>
      <c r="BQ21" s="2"/>
      <c r="BR21" s="2"/>
      <c r="BS21" s="2"/>
      <c r="BT21" s="2"/>
      <c r="BU21" s="2"/>
      <c r="BV21" s="2"/>
      <c r="BW21" s="2"/>
      <c r="BX21" s="2"/>
      <c r="BY21" s="2"/>
      <c r="BZ21" s="2"/>
      <c r="CA21" s="2"/>
      <c r="CB21" s="2"/>
      <c r="CC21" s="2"/>
      <c r="CD21" s="2"/>
      <c r="CE21" s="2"/>
    </row>
    <row r="22" spans="1:83" ht="14" x14ac:dyDescent="0.3">
      <c r="A22" s="2">
        <f t="shared" si="4"/>
        <v>10</v>
      </c>
      <c r="B22" s="2">
        <v>2925.8719999999998</v>
      </c>
      <c r="C22" s="2">
        <v>10595.727999999999</v>
      </c>
      <c r="D22" s="2">
        <v>11554.52</v>
      </c>
      <c r="E22" s="2">
        <v>9413.5540000000001</v>
      </c>
      <c r="F22" s="2">
        <f t="shared" si="5"/>
        <v>1622.4184999999998</v>
      </c>
      <c r="G22">
        <f t="shared" si="0"/>
        <v>31.873499999997875</v>
      </c>
      <c r="H22" s="2">
        <v>9138.1360000000004</v>
      </c>
      <c r="I22" s="2">
        <v>10800.741</v>
      </c>
      <c r="J22" s="2">
        <v>9125.0509999999995</v>
      </c>
      <c r="K22" s="2">
        <v>10843.245000000001</v>
      </c>
      <c r="L22" s="2">
        <f t="shared" si="6"/>
        <v>2976.7932500000006</v>
      </c>
      <c r="M22">
        <f t="shared" si="1"/>
        <v>-17.403500000000349</v>
      </c>
      <c r="N22" s="2">
        <v>10839.657999999999</v>
      </c>
      <c r="O22" s="2">
        <v>2037.066</v>
      </c>
      <c r="P22" s="2">
        <v>9030.1859999999997</v>
      </c>
      <c r="Q22" s="2">
        <v>9047.3310000000001</v>
      </c>
      <c r="R22" s="2">
        <f t="shared" si="7"/>
        <v>738.56025000000045</v>
      </c>
      <c r="S22">
        <f t="shared" si="2"/>
        <v>-158.91149999999834</v>
      </c>
      <c r="T22" s="2">
        <v>10424.678</v>
      </c>
      <c r="U22" s="2">
        <v>10062.431</v>
      </c>
      <c r="V22" s="2">
        <v>7989.16</v>
      </c>
      <c r="W22" s="2">
        <v>10591.808000000001</v>
      </c>
      <c r="X22" s="2">
        <f t="shared" si="8"/>
        <v>4631.9650000000001</v>
      </c>
      <c r="Y22" s="2"/>
      <c r="Z22" s="2"/>
      <c r="AA22" s="2"/>
      <c r="AB22" s="2"/>
      <c r="AC22" s="2"/>
      <c r="AD22" s="2">
        <f t="shared" si="3"/>
        <v>-63.845500000003085</v>
      </c>
      <c r="AE22" s="2"/>
      <c r="AF22" s="2"/>
      <c r="AG22" s="2"/>
      <c r="AH22" s="2"/>
      <c r="AI22" s="2"/>
      <c r="AJ22" s="2"/>
      <c r="AK22" s="2"/>
      <c r="AL22" s="2"/>
      <c r="AM22" s="2"/>
      <c r="AN22" s="2"/>
      <c r="AO22" s="3"/>
      <c r="AP22" s="2"/>
      <c r="AQ22" s="2"/>
      <c r="AR22" s="2"/>
      <c r="AS22" s="2"/>
      <c r="AT22" s="2"/>
      <c r="AU22" s="2"/>
      <c r="AV22" s="2"/>
      <c r="AW22" s="2"/>
      <c r="AX22" s="2"/>
      <c r="AY22" s="2"/>
      <c r="AZ22" s="2"/>
      <c r="BA22" s="2"/>
      <c r="BB22" s="2"/>
      <c r="BC22" s="2"/>
      <c r="BD22" s="2"/>
      <c r="BE22" s="2"/>
      <c r="BF22" s="2"/>
      <c r="BG22" s="2"/>
      <c r="BH22" s="2"/>
      <c r="BI22" s="2"/>
      <c r="BJ22" s="2"/>
      <c r="BK22" s="2"/>
      <c r="BL22" s="2"/>
      <c r="BM22" s="2"/>
      <c r="BN22" s="2"/>
      <c r="BO22" s="2"/>
      <c r="BP22" s="2"/>
      <c r="BQ22" s="2"/>
      <c r="BR22" s="2"/>
      <c r="BS22" s="2"/>
      <c r="BT22" s="2"/>
      <c r="BU22" s="2"/>
      <c r="BV22" s="2"/>
      <c r="BW22" s="2"/>
      <c r="BX22" s="2"/>
      <c r="BY22" s="2"/>
      <c r="BZ22" s="2"/>
      <c r="CA22" s="2"/>
      <c r="CB22" s="2"/>
      <c r="CC22" s="2"/>
      <c r="CD22" s="2"/>
      <c r="CE22" s="2"/>
    </row>
    <row r="23" spans="1:83" ht="14" x14ac:dyDescent="0.3">
      <c r="A23" s="2">
        <f t="shared" si="4"/>
        <v>10.5</v>
      </c>
      <c r="B23" s="2">
        <v>2796.1550000000002</v>
      </c>
      <c r="C23" s="2">
        <v>10593.762000000001</v>
      </c>
      <c r="D23" s="2">
        <v>10703.722</v>
      </c>
      <c r="E23" s="2">
        <v>9455.6540000000005</v>
      </c>
      <c r="F23" s="2">
        <f t="shared" si="5"/>
        <v>1387.3232500000013</v>
      </c>
      <c r="G23">
        <f t="shared" si="0"/>
        <v>361.33099999999831</v>
      </c>
      <c r="H23" s="2">
        <v>9149.5740000000005</v>
      </c>
      <c r="I23" s="2">
        <v>10766.148999999999</v>
      </c>
      <c r="J23" s="2">
        <v>9120.4480000000003</v>
      </c>
      <c r="K23" s="2">
        <v>10854.437</v>
      </c>
      <c r="L23" s="2">
        <f t="shared" si="6"/>
        <v>2972.652</v>
      </c>
      <c r="M23">
        <f t="shared" si="1"/>
        <v>-64.171999999998661</v>
      </c>
      <c r="N23" s="2">
        <v>10982.955</v>
      </c>
      <c r="O23" s="2">
        <v>2070.16</v>
      </c>
      <c r="P23" s="2">
        <v>9146.3729999999996</v>
      </c>
      <c r="Q23" s="2">
        <v>9165.8770000000004</v>
      </c>
      <c r="R23" s="2">
        <f t="shared" si="7"/>
        <v>841.34124999999949</v>
      </c>
      <c r="S23">
        <f t="shared" si="2"/>
        <v>19.088499999998021</v>
      </c>
      <c r="T23" s="2">
        <v>10451.048000000001</v>
      </c>
      <c r="U23" s="2">
        <v>10082.915000000001</v>
      </c>
      <c r="V23" s="2">
        <v>8000.7070000000003</v>
      </c>
      <c r="W23" s="2">
        <v>10584.308999999999</v>
      </c>
      <c r="X23" s="2">
        <f t="shared" si="8"/>
        <v>4654.5730000000021</v>
      </c>
      <c r="Y23" s="2"/>
      <c r="Z23" s="2"/>
      <c r="AA23" s="2"/>
      <c r="AB23" s="2"/>
      <c r="AC23" s="2"/>
      <c r="AD23" s="2">
        <f t="shared" si="3"/>
        <v>-26.39600000000064</v>
      </c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2"/>
      <c r="AY23" s="2"/>
      <c r="AZ23" s="2"/>
      <c r="BA23" s="2"/>
      <c r="BB23" s="2"/>
      <c r="BC23" s="2"/>
      <c r="BD23" s="2"/>
      <c r="BE23" s="2"/>
      <c r="BF23" s="2"/>
      <c r="BG23" s="2"/>
      <c r="BH23" s="2"/>
      <c r="BI23" s="2"/>
      <c r="BJ23" s="2"/>
      <c r="BK23" s="2"/>
      <c r="BL23" s="2"/>
      <c r="BM23" s="2"/>
      <c r="BN23" s="2"/>
      <c r="BO23" s="2"/>
      <c r="BP23" s="2"/>
      <c r="BQ23" s="2"/>
      <c r="BR23" s="2"/>
      <c r="BS23" s="2"/>
      <c r="BT23" s="2"/>
      <c r="BU23" s="2"/>
      <c r="BV23" s="2"/>
      <c r="BW23" s="2"/>
      <c r="BX23" s="2"/>
      <c r="BY23" s="2"/>
      <c r="BZ23" s="2"/>
      <c r="CA23" s="2"/>
      <c r="CB23" s="2"/>
      <c r="CC23" s="2"/>
      <c r="CD23" s="2"/>
      <c r="CE23" s="2"/>
    </row>
    <row r="24" spans="1:83" ht="14" x14ac:dyDescent="0.3">
      <c r="A24" s="2">
        <f t="shared" si="4"/>
        <v>11</v>
      </c>
      <c r="B24" s="2">
        <v>2932.62</v>
      </c>
      <c r="C24" s="2">
        <v>10573.025</v>
      </c>
      <c r="D24" s="2">
        <v>10687.476000000001</v>
      </c>
      <c r="E24" s="2">
        <v>9419.9189999999999</v>
      </c>
      <c r="F24" s="2">
        <f t="shared" si="5"/>
        <v>1403.2600000000002</v>
      </c>
      <c r="G24">
        <f t="shared" si="0"/>
        <v>2.448500000002241</v>
      </c>
      <c r="H24" s="2">
        <v>9138.723</v>
      </c>
      <c r="I24" s="2">
        <v>10766.803</v>
      </c>
      <c r="J24" s="2">
        <v>9120.4840000000004</v>
      </c>
      <c r="K24" s="2">
        <v>10829.790999999999</v>
      </c>
      <c r="L24" s="2">
        <f t="shared" si="6"/>
        <v>2963.9502499999999</v>
      </c>
      <c r="M24">
        <f t="shared" si="1"/>
        <v>-144.56850000000122</v>
      </c>
      <c r="N24" s="2">
        <v>10863.498</v>
      </c>
      <c r="O24" s="2">
        <v>2030.7159999999999</v>
      </c>
      <c r="P24" s="2">
        <v>9074.7810000000009</v>
      </c>
      <c r="Q24" s="2">
        <v>9078.5470000000005</v>
      </c>
      <c r="R24" s="2">
        <f t="shared" si="7"/>
        <v>761.88550000000032</v>
      </c>
      <c r="S24">
        <f t="shared" si="2"/>
        <v>-14.41649999999936</v>
      </c>
      <c r="T24" s="2">
        <v>10362.076999999999</v>
      </c>
      <c r="U24" s="2">
        <v>10101.472</v>
      </c>
      <c r="V24" s="2">
        <v>7962.79</v>
      </c>
      <c r="W24" s="2">
        <v>10491.181</v>
      </c>
      <c r="X24" s="2">
        <f t="shared" si="8"/>
        <v>4622.6502500000006</v>
      </c>
      <c r="Y24" s="2"/>
      <c r="Z24" s="2"/>
      <c r="AA24" s="2"/>
      <c r="AB24" s="2"/>
      <c r="AC24" s="2"/>
      <c r="AD24" s="2">
        <f t="shared" si="3"/>
        <v>7.1909999999952561</v>
      </c>
      <c r="AE24" s="2"/>
      <c r="AF24" s="2"/>
      <c r="AG24" s="2"/>
      <c r="AH24" s="2"/>
      <c r="AI24" s="2"/>
      <c r="AJ24" s="2"/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2"/>
      <c r="AV24" s="2"/>
      <c r="AW24" s="2"/>
      <c r="AX24" s="2"/>
      <c r="AY24" s="2"/>
      <c r="AZ24" s="2"/>
      <c r="BA24" s="2"/>
      <c r="BB24" s="2"/>
      <c r="BC24" s="2"/>
      <c r="BD24" s="2"/>
      <c r="BE24" s="2"/>
      <c r="BF24" s="2"/>
      <c r="BG24" s="2"/>
      <c r="BH24" s="2"/>
      <c r="BI24" s="2"/>
      <c r="BJ24" s="2"/>
      <c r="BK24" s="2"/>
      <c r="BL24" s="2"/>
      <c r="BM24" s="2"/>
      <c r="BN24" s="2"/>
      <c r="BO24" s="2"/>
      <c r="BP24" s="2"/>
      <c r="BQ24" s="3"/>
      <c r="BR24" s="2"/>
      <c r="BS24" s="2"/>
      <c r="BT24" s="2"/>
      <c r="BU24" s="2"/>
      <c r="BV24" s="2"/>
      <c r="BW24" s="2"/>
      <c r="BX24" s="2"/>
      <c r="BY24" s="2"/>
      <c r="BZ24" s="2"/>
      <c r="CA24" s="2"/>
      <c r="CB24" s="2"/>
      <c r="CC24" s="2"/>
      <c r="CD24" s="2"/>
      <c r="CE24" s="2"/>
    </row>
    <row r="25" spans="1:83" ht="14" x14ac:dyDescent="0.3">
      <c r="A25" s="2">
        <f t="shared" si="4"/>
        <v>11.5</v>
      </c>
      <c r="B25" s="2">
        <v>2930.4769999999999</v>
      </c>
      <c r="C25" s="2">
        <v>10494.064</v>
      </c>
      <c r="D25" s="2">
        <v>11516.933999999999</v>
      </c>
      <c r="E25" s="2">
        <v>9394.2270000000008</v>
      </c>
      <c r="F25" s="2">
        <f t="shared" si="5"/>
        <v>1583.9254999999994</v>
      </c>
      <c r="G25">
        <f t="shared" si="0"/>
        <v>-327.79049999999916</v>
      </c>
      <c r="H25" s="2">
        <v>9012.6219999999994</v>
      </c>
      <c r="I25" s="2">
        <v>10803.517</v>
      </c>
      <c r="J25" s="2">
        <v>9133.1270000000004</v>
      </c>
      <c r="K25" s="2">
        <v>10778.191000000001</v>
      </c>
      <c r="L25" s="2">
        <f t="shared" si="6"/>
        <v>2931.8642500000005</v>
      </c>
      <c r="M25">
        <f t="shared" si="1"/>
        <v>204.54400000000169</v>
      </c>
      <c r="N25" s="2">
        <v>10882.142</v>
      </c>
      <c r="O25" s="2">
        <v>2024.4829999999999</v>
      </c>
      <c r="P25" s="2">
        <v>9084.0490000000009</v>
      </c>
      <c r="Q25" s="2">
        <v>9095.0450000000001</v>
      </c>
      <c r="R25" s="2">
        <f t="shared" si="7"/>
        <v>771.42974999999933</v>
      </c>
      <c r="S25">
        <f t="shared" si="2"/>
        <v>16.759500000000116</v>
      </c>
      <c r="T25" s="2">
        <v>10417.684999999999</v>
      </c>
      <c r="U25" s="3">
        <v>10049.101000000001</v>
      </c>
      <c r="V25" s="2">
        <v>7960.9610000000002</v>
      </c>
      <c r="W25" s="2">
        <v>10550.913</v>
      </c>
      <c r="X25" s="2">
        <f t="shared" si="8"/>
        <v>4609.4522500000003</v>
      </c>
      <c r="Y25" s="2"/>
      <c r="Z25" s="2"/>
      <c r="AA25" s="2"/>
      <c r="AB25" s="2"/>
      <c r="AC25" s="2"/>
      <c r="AD25" s="2">
        <f t="shared" si="3"/>
        <v>214.54450000000361</v>
      </c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3"/>
      <c r="AV25" s="2"/>
      <c r="AW25" s="2"/>
      <c r="AX25" s="2"/>
      <c r="AY25" s="2"/>
      <c r="AZ25" s="2"/>
      <c r="BA25" s="2"/>
      <c r="BB25" s="2"/>
      <c r="BC25" s="2"/>
      <c r="BD25" s="2"/>
      <c r="BE25" s="2"/>
      <c r="BF25" s="2"/>
      <c r="BG25" s="2"/>
      <c r="BH25" s="2"/>
      <c r="BI25" s="2"/>
      <c r="BJ25" s="2"/>
      <c r="BK25" s="2"/>
      <c r="BL25" s="2"/>
      <c r="BM25" s="2"/>
      <c r="BN25" s="2"/>
      <c r="BO25" s="2"/>
      <c r="BP25" s="2"/>
      <c r="BQ25" s="2"/>
      <c r="BR25" s="2"/>
      <c r="BS25" s="2"/>
      <c r="BT25" s="2"/>
      <c r="BU25" s="2"/>
      <c r="BV25" s="2"/>
      <c r="BW25" s="2"/>
      <c r="BX25" s="2"/>
      <c r="BY25" s="2"/>
      <c r="BZ25" s="2"/>
      <c r="CA25" s="2"/>
      <c r="CB25" s="2"/>
      <c r="CC25" s="2"/>
      <c r="CD25" s="2"/>
      <c r="CE25" s="2"/>
    </row>
    <row r="26" spans="1:83" ht="14" x14ac:dyDescent="0.3">
      <c r="A26" s="2">
        <f t="shared" si="4"/>
        <v>12</v>
      </c>
      <c r="B26" s="2">
        <v>2920.7860000000001</v>
      </c>
      <c r="C26" s="2">
        <v>10499.842000000001</v>
      </c>
      <c r="D26" s="2">
        <v>11544.25</v>
      </c>
      <c r="E26" s="2">
        <v>9375.7209999999995</v>
      </c>
      <c r="F26" s="2">
        <f t="shared" si="5"/>
        <v>1585.1497500000005</v>
      </c>
      <c r="G26">
        <f t="shared" si="0"/>
        <v>472.72699999999531</v>
      </c>
      <c r="H26" s="2">
        <v>9035.69</v>
      </c>
      <c r="I26" s="2">
        <v>10660.772000000001</v>
      </c>
      <c r="J26" s="2">
        <v>9038.0020000000004</v>
      </c>
      <c r="K26" s="2">
        <v>10703.856</v>
      </c>
      <c r="L26" s="2">
        <f t="shared" si="6"/>
        <v>2859.58</v>
      </c>
      <c r="M26">
        <f t="shared" si="1"/>
        <v>373.56049999999959</v>
      </c>
      <c r="N26" s="2">
        <v>10887.544</v>
      </c>
      <c r="O26" s="2">
        <v>2017.2929999999999</v>
      </c>
      <c r="P26" s="2">
        <v>9066.7350000000006</v>
      </c>
      <c r="Q26" s="2">
        <v>9085.3140000000003</v>
      </c>
      <c r="R26" s="2">
        <f t="shared" si="7"/>
        <v>764.22149999999965</v>
      </c>
      <c r="S26">
        <f t="shared" si="2"/>
        <v>271.48199999999997</v>
      </c>
      <c r="T26" s="2">
        <v>10371.355</v>
      </c>
      <c r="U26" s="2">
        <v>10032.486999999999</v>
      </c>
      <c r="V26" s="2">
        <v>8007.9309999999996</v>
      </c>
      <c r="W26" s="2">
        <v>10521.842000000001</v>
      </c>
      <c r="X26" s="2">
        <f t="shared" si="8"/>
        <v>4613.0477499999979</v>
      </c>
      <c r="Y26" s="2"/>
      <c r="Z26" s="2"/>
      <c r="AA26" s="2"/>
      <c r="AB26" s="2"/>
      <c r="AC26" s="2"/>
      <c r="AD26" s="2">
        <f t="shared" si="3"/>
        <v>987.20300000000134</v>
      </c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/>
      <c r="BA26" s="2"/>
      <c r="BB26" s="2"/>
      <c r="BC26" s="2"/>
      <c r="BD26" s="2"/>
      <c r="BE26" s="2"/>
      <c r="BF26" s="2"/>
      <c r="BG26" s="2"/>
      <c r="BH26" s="2"/>
      <c r="BI26" s="2"/>
      <c r="BJ26" s="2"/>
      <c r="BK26" s="2"/>
      <c r="BL26" s="2"/>
      <c r="BM26" s="2"/>
      <c r="BN26" s="2"/>
      <c r="BO26" s="2"/>
      <c r="BP26" s="2"/>
      <c r="BQ26" s="3"/>
      <c r="BR26" s="2"/>
      <c r="BS26" s="2"/>
      <c r="BT26" s="2"/>
      <c r="BU26" s="2"/>
      <c r="BV26" s="2"/>
      <c r="BW26" s="2"/>
      <c r="BX26" s="2"/>
      <c r="BY26" s="2"/>
      <c r="BZ26" s="2"/>
      <c r="CA26" s="2"/>
      <c r="CB26" s="2"/>
      <c r="CC26" s="2"/>
      <c r="CD26" s="2"/>
      <c r="CE26" s="2"/>
    </row>
    <row r="27" spans="1:83" ht="14" x14ac:dyDescent="0.3">
      <c r="A27" s="2">
        <f t="shared" si="4"/>
        <v>12.5</v>
      </c>
      <c r="B27" s="2">
        <v>2926.0219999999999</v>
      </c>
      <c r="C27" s="2">
        <v>10530.673000000001</v>
      </c>
      <c r="D27" s="2">
        <v>10827.936</v>
      </c>
      <c r="E27" s="2">
        <v>9400.3870000000006</v>
      </c>
      <c r="F27" s="2">
        <f t="shared" si="5"/>
        <v>1421.2545000000009</v>
      </c>
      <c r="G27">
        <f t="shared" si="0"/>
        <v>-503.47149999999965</v>
      </c>
      <c r="H27" s="3">
        <v>9126.1849999999995</v>
      </c>
      <c r="I27" s="2">
        <v>10775.343000000001</v>
      </c>
      <c r="J27" s="2">
        <v>9127.6200000000008</v>
      </c>
      <c r="K27" s="2">
        <v>10818.26</v>
      </c>
      <c r="L27" s="2">
        <f t="shared" si="6"/>
        <v>2961.8520000000008</v>
      </c>
      <c r="M27">
        <f t="shared" si="1"/>
        <v>-276.82400000000052</v>
      </c>
      <c r="N27" s="2">
        <v>10892.876</v>
      </c>
      <c r="O27" s="2">
        <v>2024.7349999999999</v>
      </c>
      <c r="P27" s="2">
        <v>9079.9429999999993</v>
      </c>
      <c r="Q27" s="2">
        <v>9092.8510000000006</v>
      </c>
      <c r="R27" s="2">
        <f t="shared" si="7"/>
        <v>772.60124999999971</v>
      </c>
      <c r="S27">
        <f t="shared" si="2"/>
        <v>-305.50300000000061</v>
      </c>
      <c r="T27" s="2">
        <v>10395.234</v>
      </c>
      <c r="U27" s="2">
        <v>10097.864</v>
      </c>
      <c r="V27" s="2">
        <v>8145.1589999999997</v>
      </c>
      <c r="W27" s="2">
        <v>10556.8</v>
      </c>
      <c r="X27" s="2">
        <f t="shared" si="8"/>
        <v>4720.32</v>
      </c>
      <c r="Y27" s="2"/>
      <c r="Z27" s="2"/>
      <c r="AA27" s="2"/>
      <c r="AB27" s="2"/>
      <c r="AC27" s="2"/>
      <c r="AD27" s="2">
        <f t="shared" si="3"/>
        <v>-1312.4315000000024</v>
      </c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3"/>
      <c r="AU27" s="2"/>
      <c r="AV27" s="2"/>
      <c r="AW27" s="2"/>
      <c r="AX27" s="2"/>
      <c r="AY27" s="2"/>
      <c r="AZ27" s="2"/>
      <c r="BA27" s="2"/>
      <c r="BB27" s="2"/>
      <c r="BC27" s="2"/>
      <c r="BD27" s="2"/>
      <c r="BE27" s="2"/>
      <c r="BF27" s="2"/>
      <c r="BG27" s="2"/>
      <c r="BH27" s="3"/>
      <c r="BI27" s="2"/>
      <c r="BJ27" s="2"/>
      <c r="BK27" s="2"/>
      <c r="BL27" s="2"/>
      <c r="BM27" s="2"/>
      <c r="BN27" s="2"/>
      <c r="BO27" s="2"/>
      <c r="BP27" s="2"/>
      <c r="BQ27" s="2"/>
      <c r="BR27" s="2"/>
      <c r="BS27" s="2"/>
      <c r="BT27" s="2"/>
      <c r="BU27" s="2"/>
      <c r="BV27" s="2"/>
      <c r="BW27" s="2"/>
      <c r="BX27" s="2"/>
      <c r="BY27" s="2"/>
      <c r="BZ27" s="2"/>
      <c r="CA27" s="2"/>
      <c r="CB27" s="2"/>
      <c r="CC27" s="2"/>
      <c r="CD27" s="2"/>
      <c r="CE27" s="2"/>
    </row>
    <row r="28" spans="1:83" ht="14" x14ac:dyDescent="0.3">
      <c r="A28" s="2">
        <f t="shared" si="4"/>
        <v>13</v>
      </c>
      <c r="B28" s="2">
        <v>2828.614</v>
      </c>
      <c r="C28" s="2">
        <v>10748.314</v>
      </c>
      <c r="D28" s="2">
        <v>11465.098</v>
      </c>
      <c r="E28" s="2">
        <v>9588.4459999999999</v>
      </c>
      <c r="F28" s="2">
        <f t="shared" si="5"/>
        <v>1657.6179999999986</v>
      </c>
      <c r="G28">
        <f t="shared" si="0"/>
        <v>-146.28599999999642</v>
      </c>
      <c r="H28" s="3">
        <v>9294.65</v>
      </c>
      <c r="I28" s="2">
        <v>10979.252</v>
      </c>
      <c r="J28" s="2">
        <v>9297.6440000000002</v>
      </c>
      <c r="K28" s="2">
        <v>11022.983</v>
      </c>
      <c r="L28" s="2">
        <f t="shared" si="6"/>
        <v>3148.6322500000006</v>
      </c>
      <c r="M28">
        <f t="shared" si="1"/>
        <v>-176.08650000000125</v>
      </c>
      <c r="N28" s="2">
        <v>11099.298000000001</v>
      </c>
      <c r="O28" s="2">
        <v>2026.3320000000001</v>
      </c>
      <c r="P28" s="2">
        <v>9249.0190000000002</v>
      </c>
      <c r="Q28" s="3">
        <v>9258.7199999999993</v>
      </c>
      <c r="R28" s="2">
        <f t="shared" si="7"/>
        <v>908.34224999999969</v>
      </c>
      <c r="S28">
        <f t="shared" si="2"/>
        <v>-5.9414999999989959</v>
      </c>
      <c r="T28" s="2">
        <v>10607.64</v>
      </c>
      <c r="U28" s="2">
        <v>10245.853999999999</v>
      </c>
      <c r="V28" s="2">
        <v>8878.1689999999999</v>
      </c>
      <c r="W28" s="2">
        <v>10750.138999999999</v>
      </c>
      <c r="X28" s="2">
        <f t="shared" si="8"/>
        <v>5213.9215000000004</v>
      </c>
      <c r="Y28" s="2"/>
      <c r="Z28" s="2"/>
      <c r="AA28" s="2"/>
      <c r="AB28" s="2"/>
      <c r="AC28" s="2"/>
      <c r="AD28" s="2">
        <f t="shared" si="3"/>
        <v>586.00400000000445</v>
      </c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  <c r="BA28" s="2"/>
      <c r="BB28" s="2"/>
      <c r="BC28" s="2"/>
      <c r="BD28" s="2"/>
      <c r="BE28" s="2"/>
      <c r="BF28" s="2"/>
      <c r="BG28" s="2"/>
      <c r="BH28" s="2"/>
      <c r="BI28" s="2"/>
      <c r="BJ28" s="2"/>
      <c r="BK28" s="2"/>
      <c r="BL28" s="2"/>
      <c r="BM28" s="2"/>
      <c r="BN28" s="2"/>
      <c r="BO28" s="2"/>
      <c r="BP28" s="2"/>
      <c r="BQ28" s="2"/>
      <c r="BR28" s="2"/>
      <c r="BS28" s="2"/>
      <c r="BT28" s="2"/>
      <c r="BU28" s="2"/>
      <c r="BV28" s="2"/>
      <c r="BW28" s="2"/>
      <c r="BX28" s="2"/>
      <c r="BY28" s="2"/>
      <c r="BZ28" s="2"/>
      <c r="CA28" s="2"/>
      <c r="CB28" s="2"/>
      <c r="CC28" s="2"/>
      <c r="CD28" s="2"/>
      <c r="CE28" s="2"/>
    </row>
    <row r="29" spans="1:83" ht="14" x14ac:dyDescent="0.3">
      <c r="A29" s="2">
        <f t="shared" si="4"/>
        <v>13.5</v>
      </c>
      <c r="B29" s="2">
        <v>3092.4270000000001</v>
      </c>
      <c r="C29" s="2">
        <v>10614.898999999999</v>
      </c>
      <c r="D29" s="2">
        <v>10630.109</v>
      </c>
      <c r="E29" s="2">
        <v>9286.0939999999991</v>
      </c>
      <c r="F29" s="2">
        <f t="shared" si="5"/>
        <v>1405.8822499999987</v>
      </c>
      <c r="G29">
        <f t="shared" si="0"/>
        <v>390.02500000000146</v>
      </c>
      <c r="H29" s="2">
        <v>9170.5450000000001</v>
      </c>
      <c r="I29" s="2">
        <v>10823.761</v>
      </c>
      <c r="J29" s="2">
        <v>9169.982</v>
      </c>
      <c r="K29" s="2">
        <v>10876.593000000001</v>
      </c>
      <c r="L29" s="2">
        <f t="shared" si="6"/>
        <v>3010.2202500000003</v>
      </c>
      <c r="M29">
        <f t="shared" si="1"/>
        <v>22.894000000000233</v>
      </c>
      <c r="N29" s="2">
        <v>10867.135</v>
      </c>
      <c r="O29" s="2">
        <v>2049.5500000000002</v>
      </c>
      <c r="P29" s="2">
        <v>9042.6139999999996</v>
      </c>
      <c r="Q29" s="3">
        <v>9063.0640000000003</v>
      </c>
      <c r="R29" s="2">
        <f t="shared" si="7"/>
        <v>755.59074999999939</v>
      </c>
      <c r="S29">
        <f t="shared" si="2"/>
        <v>34.647500000000946</v>
      </c>
      <c r="T29" s="2">
        <v>10290.184999999999</v>
      </c>
      <c r="U29" s="2">
        <v>9985.7909999999993</v>
      </c>
      <c r="V29" s="2">
        <v>7984.5280000000002</v>
      </c>
      <c r="W29" s="2">
        <v>10449.15</v>
      </c>
      <c r="X29" s="2">
        <f t="shared" si="8"/>
        <v>4557.7057499999992</v>
      </c>
      <c r="Y29" s="2"/>
      <c r="Z29" s="2"/>
      <c r="AA29" s="2"/>
      <c r="AB29" s="2"/>
      <c r="AC29" s="2"/>
      <c r="AD29" s="2">
        <f t="shared" si="3"/>
        <v>248.10549999999785</v>
      </c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3"/>
      <c r="AQ29" s="2"/>
      <c r="AR29" s="2"/>
      <c r="AS29" s="2"/>
      <c r="AT29" s="2"/>
      <c r="AU29" s="2"/>
      <c r="AV29" s="2"/>
      <c r="AW29" s="2"/>
      <c r="AX29" s="2"/>
      <c r="AY29" s="2"/>
      <c r="AZ29" s="2"/>
      <c r="BA29" s="2"/>
      <c r="BB29" s="2"/>
      <c r="BC29" s="2"/>
      <c r="BD29" s="2"/>
      <c r="BE29" s="2"/>
      <c r="BF29" s="2"/>
      <c r="BG29" s="2"/>
      <c r="BH29" s="2"/>
      <c r="BI29" s="2"/>
      <c r="BJ29" s="2"/>
      <c r="BK29" s="2"/>
      <c r="BL29" s="2"/>
      <c r="BM29" s="2"/>
      <c r="BN29" s="2"/>
      <c r="BO29" s="2"/>
      <c r="BP29" s="3"/>
      <c r="BQ29" s="2"/>
      <c r="BR29" s="2"/>
      <c r="BS29" s="2"/>
      <c r="BT29" s="2"/>
      <c r="BU29" s="2"/>
      <c r="BV29" s="2"/>
      <c r="BW29" s="2"/>
      <c r="BX29" s="2"/>
      <c r="BY29" s="2"/>
      <c r="BZ29" s="2"/>
      <c r="CA29" s="2"/>
      <c r="CB29" s="2"/>
      <c r="CC29" s="2"/>
      <c r="CD29" s="2"/>
      <c r="CE29" s="2"/>
    </row>
    <row r="30" spans="1:83" ht="14" x14ac:dyDescent="0.3">
      <c r="A30" s="2">
        <f t="shared" si="4"/>
        <v>14</v>
      </c>
      <c r="B30" s="2">
        <v>2774.712</v>
      </c>
      <c r="C30" s="2">
        <v>10521.499</v>
      </c>
      <c r="D30" s="2">
        <v>10626.365</v>
      </c>
      <c r="E30" s="2">
        <v>9408.3809999999994</v>
      </c>
      <c r="F30" s="2">
        <f t="shared" si="5"/>
        <v>1332.7392500000005</v>
      </c>
      <c r="G30">
        <f t="shared" si="0"/>
        <v>-375.18400000000474</v>
      </c>
      <c r="H30" s="3">
        <v>9053.5300000000007</v>
      </c>
      <c r="I30" s="2">
        <v>10770.489</v>
      </c>
      <c r="J30" s="2">
        <v>9112.2690000000002</v>
      </c>
      <c r="K30" s="2">
        <v>10752.42</v>
      </c>
      <c r="L30" s="2">
        <f t="shared" si="6"/>
        <v>2922.1769999999997</v>
      </c>
      <c r="M30">
        <f t="shared" si="1"/>
        <v>-243.73700000000099</v>
      </c>
      <c r="N30" s="2">
        <v>10858.857</v>
      </c>
      <c r="O30" s="2">
        <v>2021.085</v>
      </c>
      <c r="P30" s="2">
        <v>9048.6970000000001</v>
      </c>
      <c r="Q30" s="2">
        <v>9081.8410000000003</v>
      </c>
      <c r="R30" s="2">
        <f t="shared" si="7"/>
        <v>752.61999999999989</v>
      </c>
      <c r="S30">
        <f t="shared" si="2"/>
        <v>-244.30400000000009</v>
      </c>
      <c r="T30" s="2">
        <v>10389.011</v>
      </c>
      <c r="U30" s="2">
        <v>10093.164000000001</v>
      </c>
      <c r="V30" s="2">
        <v>8413.7459999999992</v>
      </c>
      <c r="W30" s="2">
        <v>10522.134</v>
      </c>
      <c r="X30" s="2">
        <f t="shared" si="8"/>
        <v>4850.7077500000014</v>
      </c>
      <c r="Y30" s="2"/>
      <c r="Z30" s="2"/>
      <c r="AA30" s="2"/>
      <c r="AB30" s="2"/>
      <c r="AC30" s="2"/>
      <c r="AD30" s="2">
        <f t="shared" si="3"/>
        <v>-974.37350000000151</v>
      </c>
      <c r="AE30" s="2"/>
      <c r="AF30" s="2"/>
      <c r="AG30" s="2"/>
      <c r="AH30" s="3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  <c r="BA30" s="2"/>
      <c r="BB30" s="2"/>
      <c r="BC30" s="2"/>
      <c r="BD30" s="2"/>
      <c r="BE30" s="2"/>
      <c r="BF30" s="2"/>
      <c r="BG30" s="2"/>
      <c r="BH30" s="2"/>
      <c r="BI30" s="2"/>
      <c r="BJ30" s="2"/>
      <c r="BK30" s="2"/>
      <c r="BL30" s="2"/>
      <c r="BM30" s="2"/>
      <c r="BN30" s="2"/>
      <c r="BO30" s="2"/>
      <c r="BP30" s="2"/>
      <c r="BQ30" s="2"/>
      <c r="BR30" s="2"/>
      <c r="BS30" s="2"/>
      <c r="BT30" s="2"/>
      <c r="BU30" s="2"/>
      <c r="BV30" s="2"/>
      <c r="BW30" s="2"/>
      <c r="BX30" s="2"/>
      <c r="BY30" s="2"/>
      <c r="BZ30" s="2"/>
      <c r="CA30" s="2"/>
      <c r="CB30" s="2"/>
      <c r="CC30" s="2"/>
      <c r="CD30" s="2"/>
      <c r="CE30" s="2"/>
    </row>
    <row r="31" spans="1:83" ht="14" x14ac:dyDescent="0.3">
      <c r="A31" s="2">
        <f t="shared" si="4"/>
        <v>14.5</v>
      </c>
      <c r="B31" s="2">
        <v>2772.9850000000001</v>
      </c>
      <c r="C31" s="2">
        <v>10516.153</v>
      </c>
      <c r="D31" s="2">
        <v>11436.696</v>
      </c>
      <c r="E31" s="2">
        <v>9385.1730000000007</v>
      </c>
      <c r="F31" s="2">
        <f t="shared" si="5"/>
        <v>1527.7517500000013</v>
      </c>
      <c r="G31">
        <f t="shared" si="0"/>
        <v>121.30750000000262</v>
      </c>
      <c r="H31" s="2">
        <v>9107.1919999999991</v>
      </c>
      <c r="I31" s="2">
        <v>10731.937</v>
      </c>
      <c r="J31" s="2">
        <v>9098.2739999999994</v>
      </c>
      <c r="K31" s="2">
        <v>10797.093000000001</v>
      </c>
      <c r="L31" s="2">
        <f t="shared" si="6"/>
        <v>2933.6239999999998</v>
      </c>
      <c r="M31">
        <f t="shared" si="1"/>
        <v>407.50900000000183</v>
      </c>
      <c r="N31" s="2">
        <v>10868.832</v>
      </c>
      <c r="O31" s="2">
        <v>2059.4949999999999</v>
      </c>
      <c r="P31" s="2">
        <v>9066.4930000000004</v>
      </c>
      <c r="Q31" s="2">
        <v>9084.9549999999999</v>
      </c>
      <c r="R31" s="2">
        <f t="shared" si="7"/>
        <v>769.94375000000036</v>
      </c>
      <c r="S31">
        <f t="shared" si="2"/>
        <v>302.10599999999977</v>
      </c>
      <c r="T31" s="2">
        <v>10371.418</v>
      </c>
      <c r="U31" s="2">
        <v>10019.147999999999</v>
      </c>
      <c r="V31" s="2">
        <v>8744.6640000000007</v>
      </c>
      <c r="W31" s="2">
        <v>10499.353999999999</v>
      </c>
      <c r="X31" s="2">
        <f t="shared" si="8"/>
        <v>4974.7605000000003</v>
      </c>
      <c r="Y31" s="2"/>
      <c r="Z31" s="2"/>
      <c r="AA31" s="2"/>
      <c r="AB31" s="2"/>
      <c r="AC31" s="2"/>
      <c r="AD31" s="2">
        <f t="shared" si="3"/>
        <v>512.29649999999674</v>
      </c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  <c r="BE31" s="2"/>
      <c r="BF31" s="2"/>
      <c r="BG31" s="2"/>
      <c r="BH31" s="2"/>
      <c r="BI31" s="2"/>
      <c r="BJ31" s="2"/>
      <c r="BK31" s="2"/>
      <c r="BL31" s="2"/>
      <c r="BM31" s="2"/>
      <c r="BN31" s="2"/>
      <c r="BO31" s="2"/>
      <c r="BP31" s="2"/>
      <c r="BQ31" s="2"/>
      <c r="BR31" s="2"/>
      <c r="BS31" s="2"/>
      <c r="BT31" s="2"/>
      <c r="BU31" s="2"/>
      <c r="BV31" s="2"/>
      <c r="BW31" s="2"/>
      <c r="BX31" s="2"/>
      <c r="BY31" s="2"/>
      <c r="BZ31" s="2"/>
      <c r="CA31" s="2"/>
      <c r="CB31" s="2"/>
      <c r="CC31" s="2"/>
      <c r="CD31" s="2"/>
      <c r="CE31" s="2"/>
    </row>
    <row r="32" spans="1:83" ht="14" x14ac:dyDescent="0.3">
      <c r="A32" s="2">
        <f t="shared" si="4"/>
        <v>15</v>
      </c>
      <c r="B32" s="2">
        <v>2902.4720000000002</v>
      </c>
      <c r="C32" s="2">
        <v>10433.892</v>
      </c>
      <c r="D32" s="2">
        <v>10692.727999999999</v>
      </c>
      <c r="E32" s="2">
        <v>9331.5470000000005</v>
      </c>
      <c r="F32" s="2">
        <f t="shared" si="5"/>
        <v>1340.1597499999989</v>
      </c>
      <c r="G32">
        <f t="shared" si="0"/>
        <v>86.392500000001746</v>
      </c>
      <c r="H32" s="2">
        <v>8986.0020000000004</v>
      </c>
      <c r="I32" s="2">
        <v>10601.531999999999</v>
      </c>
      <c r="J32" s="2">
        <v>9004.0339999999997</v>
      </c>
      <c r="K32" s="2">
        <v>10655.454</v>
      </c>
      <c r="L32" s="2">
        <f t="shared" si="6"/>
        <v>2811.7554999999993</v>
      </c>
      <c r="M32">
        <f t="shared" si="1"/>
        <v>66.860499999998865</v>
      </c>
      <c r="N32" s="2">
        <v>10686.252</v>
      </c>
      <c r="O32" s="2">
        <v>2069.826</v>
      </c>
      <c r="P32" s="2">
        <v>8911.5290000000005</v>
      </c>
      <c r="Q32" s="2">
        <v>8923.56</v>
      </c>
      <c r="R32" s="2">
        <f t="shared" si="7"/>
        <v>647.79175000000032</v>
      </c>
      <c r="S32">
        <f t="shared" si="2"/>
        <v>103.59150000000045</v>
      </c>
      <c r="T32" s="2">
        <v>10159.047</v>
      </c>
      <c r="U32" s="2">
        <v>9840.3389999999999</v>
      </c>
      <c r="V32" s="2">
        <v>8055.2849999999999</v>
      </c>
      <c r="W32" s="2">
        <v>10290.945</v>
      </c>
      <c r="X32" s="2">
        <f t="shared" si="8"/>
        <v>4487.5737499999996</v>
      </c>
      <c r="Y32" s="2"/>
      <c r="Z32" s="2"/>
      <c r="AA32" s="2"/>
      <c r="AB32" s="2"/>
      <c r="AC32" s="2"/>
      <c r="AD32" s="2">
        <f t="shared" si="3"/>
        <v>162.94850000000588</v>
      </c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  <c r="BE32" s="2"/>
      <c r="BF32" s="2"/>
      <c r="BG32" s="2"/>
      <c r="BH32" s="2"/>
      <c r="BI32" s="2"/>
      <c r="BJ32" s="2"/>
      <c r="BK32" s="2"/>
      <c r="BL32" s="2"/>
      <c r="BM32" s="2"/>
      <c r="BN32" s="2"/>
      <c r="BO32" s="2"/>
      <c r="BP32" s="2"/>
      <c r="BQ32" s="2"/>
      <c r="BR32" s="2"/>
      <c r="BS32" s="2"/>
      <c r="BT32" s="2"/>
      <c r="BU32" s="2"/>
      <c r="BV32" s="2"/>
      <c r="BW32" s="2"/>
      <c r="BX32" s="2"/>
      <c r="BY32" s="2"/>
      <c r="BZ32" s="2"/>
      <c r="CA32" s="2"/>
      <c r="CB32" s="2"/>
      <c r="CC32" s="2"/>
      <c r="CD32" s="2"/>
      <c r="CE32" s="2"/>
    </row>
    <row r="33" spans="1:83" ht="14" x14ac:dyDescent="0.3">
      <c r="A33" s="2">
        <f t="shared" si="4"/>
        <v>15.5</v>
      </c>
      <c r="B33" s="2">
        <v>2794.78</v>
      </c>
      <c r="C33" s="2">
        <v>10605.948</v>
      </c>
      <c r="D33" s="2">
        <v>10731.304</v>
      </c>
      <c r="E33" s="2">
        <v>9471.2219999999998</v>
      </c>
      <c r="F33" s="2">
        <f t="shared" si="5"/>
        <v>1400.8135000000002</v>
      </c>
      <c r="G33">
        <f t="shared" si="0"/>
        <v>108.30049999999756</v>
      </c>
      <c r="H33" s="2">
        <v>9177.6119999999992</v>
      </c>
      <c r="I33" s="2">
        <v>10830.736999999999</v>
      </c>
      <c r="J33" s="2">
        <v>9171.6419999999998</v>
      </c>
      <c r="K33" s="2">
        <v>10882.049000000001</v>
      </c>
      <c r="L33" s="2">
        <f t="shared" si="6"/>
        <v>3015.51</v>
      </c>
      <c r="M33">
        <f t="shared" si="1"/>
        <v>200.58650000000125</v>
      </c>
      <c r="N33" s="2">
        <v>10926.998</v>
      </c>
      <c r="O33" s="2">
        <v>2042.86</v>
      </c>
      <c r="P33" s="2">
        <v>9102.7999999999993</v>
      </c>
      <c r="Q33" s="2">
        <v>9122.7209999999995</v>
      </c>
      <c r="R33" s="2">
        <f t="shared" si="7"/>
        <v>798.8447500000002</v>
      </c>
      <c r="S33">
        <f t="shared" si="2"/>
        <v>119.18749999999818</v>
      </c>
      <c r="T33" s="2">
        <v>10471.126</v>
      </c>
      <c r="U33" s="2">
        <v>10148.374</v>
      </c>
      <c r="V33" s="2">
        <v>8103.5069999999996</v>
      </c>
      <c r="W33" s="2">
        <v>10616.575000000001</v>
      </c>
      <c r="X33" s="2">
        <f t="shared" si="8"/>
        <v>4743.7219999999979</v>
      </c>
      <c r="Y33" s="2"/>
      <c r="Z33" s="2"/>
      <c r="AA33" s="2"/>
      <c r="AB33" s="2"/>
      <c r="AC33" s="2"/>
      <c r="AD33" s="2">
        <f t="shared" si="3"/>
        <v>35.009999999998399</v>
      </c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  <c r="BA33" s="2"/>
      <c r="BB33" s="2"/>
      <c r="BC33" s="2"/>
      <c r="BD33" s="2"/>
      <c r="BE33" s="2"/>
      <c r="BF33" s="2"/>
      <c r="BG33" s="2"/>
      <c r="BH33" s="2"/>
      <c r="BI33" s="2"/>
      <c r="BJ33" s="2"/>
      <c r="BK33" s="3"/>
      <c r="BL33" s="2"/>
      <c r="BM33" s="2"/>
      <c r="BN33" s="2"/>
      <c r="BO33" s="2"/>
      <c r="BP33" s="2"/>
      <c r="BQ33" s="2"/>
      <c r="BR33" s="2"/>
      <c r="BS33" s="2"/>
      <c r="BT33" s="2"/>
      <c r="BU33" s="2"/>
      <c r="BV33" s="2"/>
      <c r="BW33" s="2"/>
      <c r="BX33" s="2"/>
      <c r="BY33" s="2"/>
      <c r="BZ33" s="2"/>
      <c r="CA33" s="2"/>
      <c r="CB33" s="2"/>
      <c r="CC33" s="2"/>
      <c r="CD33" s="2"/>
      <c r="CE33" s="2"/>
    </row>
    <row r="34" spans="1:83" ht="14" x14ac:dyDescent="0.3">
      <c r="A34" s="2">
        <f t="shared" si="4"/>
        <v>16</v>
      </c>
      <c r="B34" s="2">
        <v>2802.433</v>
      </c>
      <c r="C34" s="2">
        <v>10638.305</v>
      </c>
      <c r="D34" s="2">
        <v>10830.305</v>
      </c>
      <c r="E34" s="2">
        <v>9504.9959999999992</v>
      </c>
      <c r="F34" s="2">
        <f t="shared" si="5"/>
        <v>1444.0097500000011</v>
      </c>
      <c r="G34">
        <f t="shared" si="0"/>
        <v>-65.632000000001426</v>
      </c>
      <c r="H34" s="2">
        <v>9196.7250000000004</v>
      </c>
      <c r="I34" s="2">
        <v>10872.005999999999</v>
      </c>
      <c r="J34" s="2">
        <v>9215.6689999999999</v>
      </c>
      <c r="K34" s="2">
        <v>10911.361000000001</v>
      </c>
      <c r="L34" s="2">
        <f t="shared" si="6"/>
        <v>3048.9402499999997</v>
      </c>
      <c r="M34">
        <f t="shared" si="1"/>
        <v>-78.996999999999389</v>
      </c>
      <c r="N34" s="2">
        <v>10995.83</v>
      </c>
      <c r="O34" s="2">
        <v>2063.154</v>
      </c>
      <c r="P34" s="2">
        <v>9163.2720000000008</v>
      </c>
      <c r="Q34" s="2">
        <v>9180.3060000000005</v>
      </c>
      <c r="R34" s="2">
        <f t="shared" si="7"/>
        <v>850.64050000000043</v>
      </c>
      <c r="S34">
        <f t="shared" si="2"/>
        <v>-37.123499999997875</v>
      </c>
      <c r="T34" s="2">
        <v>10532.805</v>
      </c>
      <c r="U34" s="2">
        <v>10228.279</v>
      </c>
      <c r="V34" s="2">
        <v>8155.7110000000002</v>
      </c>
      <c r="W34" s="2">
        <v>10683.956</v>
      </c>
      <c r="X34" s="2">
        <f t="shared" si="8"/>
        <v>4825.1962500000009</v>
      </c>
      <c r="Y34" s="2"/>
      <c r="Z34" s="2"/>
      <c r="AA34" s="2"/>
      <c r="AB34" s="2"/>
      <c r="AC34" s="2"/>
      <c r="AD34" s="2">
        <f t="shared" si="3"/>
        <v>-94.444999999999709</v>
      </c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3"/>
      <c r="AU34" s="2"/>
      <c r="AV34" s="2"/>
      <c r="AW34" s="2"/>
      <c r="AX34" s="2"/>
      <c r="AY34" s="2"/>
      <c r="AZ34" s="2"/>
      <c r="BA34" s="2"/>
      <c r="BB34" s="2"/>
      <c r="BC34" s="2"/>
      <c r="BD34" s="2"/>
      <c r="BE34" s="2"/>
      <c r="BF34" s="2"/>
      <c r="BG34" s="2"/>
      <c r="BH34" s="2"/>
      <c r="BI34" s="2"/>
      <c r="BJ34" s="2"/>
      <c r="BK34" s="2"/>
      <c r="BL34" s="2"/>
      <c r="BM34" s="2"/>
      <c r="BN34" s="2"/>
      <c r="BO34" s="2"/>
      <c r="BP34" s="2"/>
      <c r="BQ34" s="2"/>
      <c r="BR34" s="2"/>
      <c r="BS34" s="2"/>
      <c r="BT34" s="2"/>
      <c r="BU34" s="2"/>
      <c r="BV34" s="2"/>
      <c r="BW34" s="2"/>
      <c r="BX34" s="2"/>
      <c r="BY34" s="2"/>
      <c r="BZ34" s="2"/>
      <c r="CA34" s="2"/>
      <c r="CB34" s="2"/>
      <c r="CC34" s="2"/>
      <c r="CD34" s="2"/>
      <c r="CE34" s="2"/>
    </row>
    <row r="35" spans="1:83" ht="14" x14ac:dyDescent="0.3">
      <c r="A35" s="2">
        <f t="shared" si="4"/>
        <v>16.5</v>
      </c>
      <c r="B35" s="2">
        <v>2833.8380000000002</v>
      </c>
      <c r="C35" s="2">
        <v>10756.777</v>
      </c>
      <c r="D35" s="2">
        <v>10796.646000000001</v>
      </c>
      <c r="E35" s="2">
        <v>9605.3790000000008</v>
      </c>
      <c r="F35" s="2">
        <f t="shared" si="5"/>
        <v>1498.1599999999999</v>
      </c>
      <c r="G35">
        <f t="shared" si="0"/>
        <v>65.867500000000291</v>
      </c>
      <c r="H35" s="2">
        <v>9300.27</v>
      </c>
      <c r="I35" s="2">
        <v>10977.074000000001</v>
      </c>
      <c r="J35" s="2">
        <v>9302.3080000000009</v>
      </c>
      <c r="K35" s="2">
        <v>11017.281999999999</v>
      </c>
      <c r="L35" s="2">
        <f t="shared" si="6"/>
        <v>3149.2335000000003</v>
      </c>
      <c r="M35">
        <f t="shared" si="1"/>
        <v>-56.484499999998661</v>
      </c>
      <c r="N35" s="2">
        <v>11083.267</v>
      </c>
      <c r="O35" s="2">
        <v>2054.6909999999998</v>
      </c>
      <c r="P35" s="2">
        <v>9246.06</v>
      </c>
      <c r="Q35" s="2">
        <v>9256.9189999999999</v>
      </c>
      <c r="R35" s="2">
        <f t="shared" si="7"/>
        <v>910.23424999999952</v>
      </c>
      <c r="S35">
        <f t="shared" si="2"/>
        <v>-122.59850000000006</v>
      </c>
      <c r="T35" s="2">
        <v>10599.547</v>
      </c>
      <c r="U35" s="2">
        <v>10258.281999999999</v>
      </c>
      <c r="V35" s="2">
        <v>8127.3469999999998</v>
      </c>
      <c r="W35" s="2">
        <v>10747.334000000001</v>
      </c>
      <c r="X35" s="2">
        <f t="shared" si="8"/>
        <v>4842.7012500000001</v>
      </c>
      <c r="Y35" s="2"/>
      <c r="Z35" s="2"/>
      <c r="AA35" s="2"/>
      <c r="AB35" s="2"/>
      <c r="AC35" s="2"/>
      <c r="AD35" s="2">
        <f t="shared" si="3"/>
        <v>141.76150000000052</v>
      </c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  <c r="BE35" s="2"/>
      <c r="BF35" s="2"/>
      <c r="BG35" s="2"/>
      <c r="BH35" s="2"/>
      <c r="BI35" s="2"/>
      <c r="BJ35" s="2"/>
      <c r="BK35" s="2"/>
      <c r="BL35" s="2"/>
      <c r="BM35" s="2"/>
      <c r="BN35" s="2"/>
      <c r="BO35" s="2"/>
      <c r="BP35" s="2"/>
      <c r="BQ35" s="2"/>
      <c r="BR35" s="2"/>
      <c r="BS35" s="2"/>
      <c r="BT35" s="2"/>
      <c r="BU35" s="2"/>
      <c r="BV35" s="2"/>
      <c r="BW35" s="2"/>
      <c r="BX35" s="2"/>
      <c r="BY35" s="2"/>
      <c r="BZ35" s="2"/>
      <c r="CA35" s="2"/>
      <c r="CB35" s="2"/>
      <c r="CC35" s="2"/>
      <c r="CD35" s="2"/>
      <c r="CE35" s="2"/>
    </row>
    <row r="36" spans="1:83" ht="14" x14ac:dyDescent="0.3">
      <c r="A36" s="2">
        <f t="shared" si="4"/>
        <v>17</v>
      </c>
      <c r="B36" s="2">
        <v>2820.692</v>
      </c>
      <c r="C36" s="2">
        <v>10712.338</v>
      </c>
      <c r="D36" s="2">
        <v>10765.905000000001</v>
      </c>
      <c r="E36" s="2">
        <v>9562.4410000000007</v>
      </c>
      <c r="F36" s="2">
        <f t="shared" si="5"/>
        <v>1465.3439999999991</v>
      </c>
      <c r="G36">
        <f t="shared" si="0"/>
        <v>165.59700000000157</v>
      </c>
      <c r="H36" s="2">
        <v>9262.4889999999996</v>
      </c>
      <c r="I36" s="2">
        <v>10931.148999999999</v>
      </c>
      <c r="J36" s="2">
        <v>9265.2620000000006</v>
      </c>
      <c r="K36" s="2">
        <v>10980.04</v>
      </c>
      <c r="L36" s="2">
        <f t="shared" si="6"/>
        <v>3109.7350000000006</v>
      </c>
      <c r="M36">
        <f t="shared" si="1"/>
        <v>265.99499999999898</v>
      </c>
      <c r="N36" s="2">
        <v>11046.271000000001</v>
      </c>
      <c r="O36" s="2">
        <v>2048.3470000000002</v>
      </c>
      <c r="P36" s="2">
        <v>9225.8369999999995</v>
      </c>
      <c r="Q36" s="2">
        <v>9246.2350000000006</v>
      </c>
      <c r="R36" s="2">
        <f t="shared" si="7"/>
        <v>891.67250000000058</v>
      </c>
      <c r="S36">
        <f t="shared" si="2"/>
        <v>334.79549999999836</v>
      </c>
      <c r="T36" s="2">
        <v>10546.468999999999</v>
      </c>
      <c r="U36" s="2">
        <v>10217.742</v>
      </c>
      <c r="V36" s="2">
        <v>8099.9809999999998</v>
      </c>
      <c r="W36" s="2">
        <v>10713.603999999999</v>
      </c>
      <c r="X36" s="2">
        <f t="shared" si="8"/>
        <v>4795.4787500000002</v>
      </c>
      <c r="Y36" s="2"/>
      <c r="Z36" s="2"/>
      <c r="AA36" s="2"/>
      <c r="AB36" s="2"/>
      <c r="AC36" s="2"/>
      <c r="AD36" s="2">
        <f t="shared" si="3"/>
        <v>177.41149999999834</v>
      </c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  <c r="BE36" s="2"/>
      <c r="BF36" s="2"/>
      <c r="BG36" s="2"/>
      <c r="BH36" s="2"/>
      <c r="BI36" s="2"/>
      <c r="BJ36" s="2"/>
      <c r="BK36" s="2"/>
      <c r="BL36" s="2"/>
      <c r="BM36" s="2"/>
      <c r="BN36" s="2"/>
      <c r="BO36" s="2"/>
      <c r="BP36" s="2"/>
      <c r="BQ36" s="2"/>
      <c r="BR36" s="2"/>
      <c r="BS36" s="2"/>
      <c r="BT36" s="2"/>
      <c r="BU36" s="2"/>
      <c r="BV36" s="2"/>
      <c r="BW36" s="2"/>
      <c r="BX36" s="2"/>
      <c r="BY36" s="2"/>
      <c r="BZ36" s="2"/>
      <c r="CA36" s="2"/>
      <c r="CB36" s="2"/>
      <c r="CC36" s="2"/>
      <c r="CD36" s="2"/>
      <c r="CE36" s="2"/>
    </row>
    <row r="37" spans="1:83" ht="14" x14ac:dyDescent="0.3">
      <c r="A37" s="2">
        <f t="shared" si="4"/>
        <v>17.5</v>
      </c>
      <c r="B37" s="2">
        <v>2811.5039999999999</v>
      </c>
      <c r="C37" s="2">
        <v>10684.852000000001</v>
      </c>
      <c r="D37" s="2">
        <v>10943.300999999999</v>
      </c>
      <c r="E37" s="2">
        <v>9553.4539999999997</v>
      </c>
      <c r="F37" s="2">
        <f t="shared" si="5"/>
        <v>1498.2777499999993</v>
      </c>
      <c r="G37">
        <f t="shared" si="0"/>
        <v>-123.45500000000175</v>
      </c>
      <c r="H37" s="2">
        <v>9229.5789999999997</v>
      </c>
      <c r="I37" s="2">
        <v>10905.289000000001</v>
      </c>
      <c r="J37" s="2">
        <v>9245.893</v>
      </c>
      <c r="K37" s="2">
        <v>10945.21</v>
      </c>
      <c r="L37" s="2">
        <f t="shared" si="6"/>
        <v>3081.4927500000013</v>
      </c>
      <c r="M37">
        <f t="shared" si="1"/>
        <v>-103.83950000000186</v>
      </c>
      <c r="N37" s="2">
        <v>11023.986000000001</v>
      </c>
      <c r="O37" s="2">
        <v>1884.8050000000001</v>
      </c>
      <c r="P37" s="2">
        <v>9189.8160000000007</v>
      </c>
      <c r="Q37" s="2">
        <v>9222.8860000000004</v>
      </c>
      <c r="R37" s="2">
        <f t="shared" si="7"/>
        <v>830.37325000000055</v>
      </c>
      <c r="S37">
        <f t="shared" si="2"/>
        <v>-97.182999999999083</v>
      </c>
      <c r="T37" s="2">
        <v>10525.18</v>
      </c>
      <c r="U37" s="2">
        <v>10222.553</v>
      </c>
      <c r="V37" s="2">
        <v>8247.5759999999991</v>
      </c>
      <c r="W37" s="2">
        <v>10680.297</v>
      </c>
      <c r="X37" s="2">
        <f t="shared" si="8"/>
        <v>4866.3595000000005</v>
      </c>
      <c r="Y37" s="2"/>
      <c r="Z37" s="2"/>
      <c r="AA37" s="2"/>
      <c r="AB37" s="2"/>
      <c r="AC37" s="2"/>
      <c r="AD37" s="2">
        <f t="shared" si="3"/>
        <v>-165.74299999999857</v>
      </c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  <c r="BE37" s="2"/>
      <c r="BF37" s="2"/>
      <c r="BG37" s="2"/>
      <c r="BH37" s="2"/>
      <c r="BI37" s="2"/>
      <c r="BJ37" s="2"/>
      <c r="BK37" s="2"/>
      <c r="BL37" s="2"/>
      <c r="BM37" s="2"/>
      <c r="BN37" s="2"/>
      <c r="BO37" s="2"/>
      <c r="BP37" s="2"/>
      <c r="BQ37" s="2"/>
      <c r="BR37" s="2"/>
      <c r="BS37" s="2"/>
      <c r="BT37" s="2"/>
      <c r="BU37" s="2"/>
      <c r="BV37" s="2"/>
      <c r="BW37" s="2"/>
      <c r="BX37" s="2"/>
      <c r="BY37" s="2"/>
      <c r="BZ37" s="2"/>
      <c r="CA37" s="2"/>
      <c r="CB37" s="2"/>
      <c r="CC37" s="2"/>
      <c r="CD37" s="2"/>
      <c r="CE37" s="2"/>
    </row>
    <row r="38" spans="1:83" ht="14" x14ac:dyDescent="0.3">
      <c r="A38" s="2">
        <f t="shared" si="4"/>
        <v>18</v>
      </c>
      <c r="B38" s="2">
        <v>2863.2559999999999</v>
      </c>
      <c r="C38" s="2">
        <v>10864.785</v>
      </c>
      <c r="D38" s="2">
        <v>10877.808000000001</v>
      </c>
      <c r="E38" s="2">
        <v>9718.4560000000001</v>
      </c>
      <c r="F38" s="2">
        <f t="shared" si="5"/>
        <v>1581.0762500000001</v>
      </c>
      <c r="G38">
        <f t="shared" si="0"/>
        <v>-151.07700000000114</v>
      </c>
      <c r="H38" s="2">
        <v>9398.7060000000001</v>
      </c>
      <c r="I38" s="2">
        <v>10913.316999999999</v>
      </c>
      <c r="J38" s="2">
        <v>9404.3130000000001</v>
      </c>
      <c r="K38" s="2">
        <v>11141.625</v>
      </c>
      <c r="L38" s="2">
        <f t="shared" si="6"/>
        <v>3214.4902500000007</v>
      </c>
      <c r="M38">
        <f t="shared" si="1"/>
        <v>-135.74599999999919</v>
      </c>
      <c r="N38" s="2">
        <v>11208.213</v>
      </c>
      <c r="O38" s="2">
        <v>2071.7669999999998</v>
      </c>
      <c r="P38" s="2">
        <v>9349.0689999999995</v>
      </c>
      <c r="Q38" s="2">
        <v>9362.0349999999999</v>
      </c>
      <c r="R38" s="2">
        <f t="shared" si="7"/>
        <v>997.77099999999973</v>
      </c>
      <c r="S38">
        <f t="shared" si="2"/>
        <v>-163.0635000000002</v>
      </c>
      <c r="T38" s="2">
        <v>10718.700999999999</v>
      </c>
      <c r="U38" s="2">
        <v>10349.163</v>
      </c>
      <c r="V38" s="2">
        <v>8201.6170000000002</v>
      </c>
      <c r="W38" s="2">
        <v>10874.758</v>
      </c>
      <c r="X38" s="2">
        <f t="shared" si="8"/>
        <v>4955.0652499999997</v>
      </c>
      <c r="Y38" s="2"/>
      <c r="Z38" s="2"/>
      <c r="AA38" s="2"/>
      <c r="AB38" s="2"/>
      <c r="AC38" s="2"/>
      <c r="AD38" s="2">
        <f t="shared" si="3"/>
        <v>-189.3650000000016</v>
      </c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  <c r="BE38" s="2"/>
      <c r="BF38" s="2"/>
      <c r="BG38" s="2"/>
      <c r="BH38" s="2"/>
      <c r="BI38" s="2"/>
      <c r="BJ38" s="2"/>
      <c r="BK38" s="2"/>
      <c r="BL38" s="2"/>
      <c r="BM38" s="2"/>
      <c r="BN38" s="2"/>
      <c r="BO38" s="2"/>
      <c r="BP38" s="2"/>
      <c r="BQ38" s="2"/>
      <c r="BR38" s="2"/>
      <c r="BS38" s="2"/>
      <c r="BT38" s="2"/>
      <c r="BU38" s="2"/>
      <c r="BV38" s="2"/>
      <c r="BW38" s="2"/>
      <c r="BX38" s="2"/>
      <c r="BY38" s="2"/>
      <c r="BZ38" s="2"/>
      <c r="CA38" s="2"/>
      <c r="CB38" s="2"/>
      <c r="CC38" s="2"/>
      <c r="CD38" s="2"/>
      <c r="CE38" s="2"/>
    </row>
    <row r="39" spans="1:83" ht="14" x14ac:dyDescent="0.3">
      <c r="A39" s="2">
        <f t="shared" si="4"/>
        <v>18.5</v>
      </c>
      <c r="B39" s="2">
        <v>2845.1489999999999</v>
      </c>
      <c r="C39" s="2">
        <v>10798.433000000001</v>
      </c>
      <c r="D39" s="2">
        <v>10777.569</v>
      </c>
      <c r="E39" s="2">
        <v>9656.2440000000006</v>
      </c>
      <c r="F39" s="2">
        <f t="shared" si="5"/>
        <v>1519.3487499999992</v>
      </c>
      <c r="G39">
        <f t="shared" si="0"/>
        <v>-101.18849999999657</v>
      </c>
      <c r="H39" s="2">
        <v>9327.5</v>
      </c>
      <c r="I39" s="2">
        <v>10911.196</v>
      </c>
      <c r="J39" s="2">
        <v>9344.0810000000001</v>
      </c>
      <c r="K39" s="2">
        <v>11067.504999999999</v>
      </c>
      <c r="L39" s="2">
        <f t="shared" si="6"/>
        <v>3162.5704999999998</v>
      </c>
      <c r="M39">
        <f t="shared" si="1"/>
        <v>-107.63950000000114</v>
      </c>
      <c r="N39" s="2">
        <v>11139.076999999999</v>
      </c>
      <c r="O39" s="2">
        <v>2053.9140000000002</v>
      </c>
      <c r="P39" s="2">
        <v>9285.5630000000001</v>
      </c>
      <c r="Q39" s="2">
        <v>9318.1640000000007</v>
      </c>
      <c r="R39" s="2">
        <f t="shared" si="7"/>
        <v>949.17950000000019</v>
      </c>
      <c r="S39">
        <f t="shared" si="2"/>
        <v>-82.03650000000016</v>
      </c>
      <c r="T39" s="2">
        <v>10648.779</v>
      </c>
      <c r="U39" s="2">
        <v>10299.718999999999</v>
      </c>
      <c r="V39" s="2">
        <v>8120.2790000000005</v>
      </c>
      <c r="W39" s="2">
        <v>10807.781000000001</v>
      </c>
      <c r="X39" s="2">
        <f t="shared" si="8"/>
        <v>4872.1937500000004</v>
      </c>
      <c r="Y39" s="2"/>
      <c r="Z39" s="2"/>
      <c r="AA39" s="2"/>
      <c r="AB39" s="2"/>
      <c r="AC39" s="2"/>
      <c r="AD39" s="2">
        <f t="shared" si="3"/>
        <v>-106.39450000000215</v>
      </c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  <c r="BE39" s="2"/>
      <c r="BF39" s="2"/>
      <c r="BG39" s="2"/>
      <c r="BH39" s="2"/>
      <c r="BI39" s="2"/>
      <c r="BJ39" s="2"/>
      <c r="BK39" s="2"/>
      <c r="BL39" s="2"/>
      <c r="BM39" s="2"/>
      <c r="BN39" s="2"/>
      <c r="BO39" s="2"/>
      <c r="BP39" s="2"/>
      <c r="BQ39" s="2"/>
      <c r="BR39" s="2"/>
      <c r="BS39" s="2"/>
      <c r="BT39" s="2"/>
      <c r="BU39" s="2"/>
      <c r="BV39" s="2"/>
      <c r="BW39" s="2"/>
      <c r="BX39" s="2"/>
      <c r="BY39" s="2"/>
      <c r="BZ39" s="2"/>
      <c r="CA39" s="2"/>
      <c r="CB39" s="2"/>
      <c r="CC39" s="2"/>
      <c r="CD39" s="2"/>
      <c r="CE39" s="2"/>
    </row>
    <row r="40" spans="1:83" ht="14" x14ac:dyDescent="0.3">
      <c r="A40" s="2">
        <f t="shared" si="4"/>
        <v>19</v>
      </c>
      <c r="B40" s="2">
        <v>2813.5540000000001</v>
      </c>
      <c r="C40" s="2">
        <v>10687.236000000001</v>
      </c>
      <c r="D40" s="2">
        <v>10720.237999999999</v>
      </c>
      <c r="E40" s="2">
        <v>9554.2129999999997</v>
      </c>
      <c r="F40" s="2">
        <f t="shared" si="5"/>
        <v>1443.8102499999986</v>
      </c>
      <c r="G40">
        <f t="shared" si="0"/>
        <v>-119.84649999999965</v>
      </c>
      <c r="H40" s="2">
        <v>9250.7090000000007</v>
      </c>
      <c r="I40" s="2">
        <v>10910.181</v>
      </c>
      <c r="J40" s="2">
        <v>9255.8349999999991</v>
      </c>
      <c r="K40" s="2">
        <v>10962.065000000001</v>
      </c>
      <c r="L40" s="2">
        <f t="shared" si="6"/>
        <v>3094.6975000000002</v>
      </c>
      <c r="M40">
        <f t="shared" si="1"/>
        <v>-190.1820000000007</v>
      </c>
      <c r="N40" s="2">
        <v>11028.22</v>
      </c>
      <c r="O40" s="2">
        <v>2041.2729999999999</v>
      </c>
      <c r="P40" s="2">
        <v>9192.7330000000002</v>
      </c>
      <c r="Q40" s="2">
        <v>9208.3649999999998</v>
      </c>
      <c r="R40" s="2">
        <f t="shared" si="7"/>
        <v>867.64775000000009</v>
      </c>
      <c r="S40">
        <f t="shared" si="2"/>
        <v>-133.00950000000012</v>
      </c>
      <c r="T40" s="2">
        <v>10550.576999999999</v>
      </c>
      <c r="U40" s="2">
        <v>10207.826999999999</v>
      </c>
      <c r="V40" s="2">
        <v>8071.9070000000002</v>
      </c>
      <c r="W40" s="2">
        <v>10694.71</v>
      </c>
      <c r="X40" s="2">
        <f t="shared" si="8"/>
        <v>4777.5112499999996</v>
      </c>
      <c r="Y40" s="2"/>
      <c r="Z40" s="2"/>
      <c r="AA40" s="2"/>
      <c r="AB40" s="2"/>
      <c r="AC40" s="2"/>
      <c r="AD40" s="2">
        <f t="shared" si="3"/>
        <v>796.166500000003</v>
      </c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  <c r="BE40" s="2"/>
      <c r="BF40" s="2"/>
      <c r="BG40" s="2"/>
      <c r="BH40" s="2"/>
      <c r="BI40" s="2"/>
      <c r="BJ40" s="2"/>
      <c r="BK40" s="2"/>
      <c r="BL40" s="2"/>
      <c r="BM40" s="3"/>
      <c r="BN40" s="2"/>
      <c r="BO40" s="2"/>
      <c r="BP40" s="2"/>
      <c r="BQ40" s="2"/>
      <c r="BR40" s="2"/>
      <c r="BS40" s="2"/>
      <c r="BT40" s="2"/>
      <c r="BU40" s="2"/>
      <c r="BV40" s="2"/>
      <c r="BW40" s="2"/>
      <c r="BX40" s="2"/>
      <c r="BY40" s="2"/>
      <c r="BZ40" s="2"/>
      <c r="CA40" s="2"/>
      <c r="CB40" s="2"/>
      <c r="CC40" s="2"/>
      <c r="CD40" s="2"/>
      <c r="CE40" s="2"/>
    </row>
    <row r="41" spans="1:83" ht="14" x14ac:dyDescent="0.3">
      <c r="A41" s="2">
        <f t="shared" si="4"/>
        <v>19.5</v>
      </c>
      <c r="B41" s="2">
        <v>2801.0250000000001</v>
      </c>
      <c r="C41" s="2">
        <v>10638.814</v>
      </c>
      <c r="D41" s="2">
        <v>10625.525</v>
      </c>
      <c r="E41" s="2">
        <v>9507.5</v>
      </c>
      <c r="F41" s="2">
        <f t="shared" si="5"/>
        <v>1393.2160000000003</v>
      </c>
      <c r="G41">
        <f t="shared" si="0"/>
        <v>49.895000000000437</v>
      </c>
      <c r="H41" s="2">
        <v>9200.8089999999993</v>
      </c>
      <c r="I41" s="2">
        <v>10854.054</v>
      </c>
      <c r="J41" s="2">
        <v>9205.4279999999999</v>
      </c>
      <c r="K41" s="2">
        <v>10903.22</v>
      </c>
      <c r="L41" s="2">
        <f t="shared" si="6"/>
        <v>3040.8777499999997</v>
      </c>
      <c r="M41">
        <f t="shared" si="1"/>
        <v>-71.43999999999869</v>
      </c>
      <c r="N41" s="2">
        <v>10961.165000000001</v>
      </c>
      <c r="O41" s="2">
        <v>2023.1210000000001</v>
      </c>
      <c r="P41" s="2">
        <v>9145.5400000000009</v>
      </c>
      <c r="Q41" s="2">
        <v>9176.6919999999991</v>
      </c>
      <c r="R41" s="2">
        <f t="shared" si="7"/>
        <v>826.62950000000001</v>
      </c>
      <c r="S41">
        <f t="shared" si="2"/>
        <v>-49.14299999999821</v>
      </c>
      <c r="T41" s="2">
        <v>10489.216</v>
      </c>
      <c r="U41" s="2">
        <v>10185.49</v>
      </c>
      <c r="V41" s="2">
        <v>8018.53</v>
      </c>
      <c r="W41" s="2">
        <v>10634.83</v>
      </c>
      <c r="X41" s="2">
        <f t="shared" si="8"/>
        <v>4724.3139999999985</v>
      </c>
      <c r="Y41" s="2"/>
      <c r="Z41" s="2"/>
      <c r="AA41" s="2"/>
      <c r="AB41" s="2"/>
      <c r="AC41" s="2"/>
      <c r="AD41" s="2">
        <f t="shared" si="3"/>
        <v>-886.99400000000242</v>
      </c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  <c r="BE41" s="2"/>
      <c r="BF41" s="2"/>
      <c r="BG41" s="2"/>
      <c r="BH41" s="2"/>
      <c r="BI41" s="2"/>
      <c r="BJ41" s="2"/>
      <c r="BK41" s="2"/>
      <c r="BL41" s="2"/>
      <c r="BM41" s="2"/>
      <c r="BN41" s="2"/>
      <c r="BO41" s="2"/>
      <c r="BP41" s="2"/>
      <c r="BQ41" s="2"/>
      <c r="BR41" s="2"/>
      <c r="BS41" s="2"/>
      <c r="BT41" s="2"/>
      <c r="BU41" s="2"/>
      <c r="BV41" s="2"/>
      <c r="BW41" s="2"/>
      <c r="BX41" s="2"/>
      <c r="BY41" s="2"/>
      <c r="BZ41" s="2"/>
      <c r="CA41" s="2"/>
      <c r="CB41" s="2"/>
      <c r="CC41" s="2"/>
      <c r="CD41" s="2"/>
      <c r="CE41" s="2"/>
    </row>
    <row r="42" spans="1:83" ht="14" x14ac:dyDescent="0.3">
      <c r="A42" s="2">
        <f t="shared" si="4"/>
        <v>20</v>
      </c>
      <c r="B42" s="2">
        <v>2773.7440000000001</v>
      </c>
      <c r="C42" s="2">
        <v>10531.513000000001</v>
      </c>
      <c r="D42" s="2">
        <v>10596.407999999999</v>
      </c>
      <c r="E42" s="2">
        <v>9431.5059999999994</v>
      </c>
      <c r="F42" s="2">
        <f t="shared" si="5"/>
        <v>1333.2927500000005</v>
      </c>
      <c r="G42">
        <f t="shared" si="0"/>
        <v>181.78949999999895</v>
      </c>
      <c r="H42" s="2">
        <v>9109.0609999999997</v>
      </c>
      <c r="I42" s="2">
        <v>10747.661</v>
      </c>
      <c r="J42" s="2">
        <v>9121.39</v>
      </c>
      <c r="K42" s="2">
        <v>10805.035</v>
      </c>
      <c r="L42" s="2">
        <f t="shared" si="6"/>
        <v>2945.7867499999993</v>
      </c>
      <c r="M42">
        <f t="shared" si="1"/>
        <v>304.75200000000041</v>
      </c>
      <c r="N42" s="2">
        <v>10859.602999999999</v>
      </c>
      <c r="O42" s="2">
        <v>2050.8530000000001</v>
      </c>
      <c r="P42" s="2">
        <v>9058.116</v>
      </c>
      <c r="Q42" s="2">
        <v>9071.9269999999997</v>
      </c>
      <c r="R42" s="2">
        <f t="shared" si="7"/>
        <v>760.12474999999995</v>
      </c>
      <c r="S42">
        <f t="shared" si="2"/>
        <v>243.73199999999633</v>
      </c>
      <c r="T42" s="2">
        <v>10384.967000000001</v>
      </c>
      <c r="U42" s="2">
        <v>10110.156999999999</v>
      </c>
      <c r="V42" s="2">
        <v>8942.1540000000005</v>
      </c>
      <c r="W42" s="2">
        <v>10550.055</v>
      </c>
      <c r="X42" s="2">
        <f t="shared" si="8"/>
        <v>5122.39725</v>
      </c>
      <c r="Y42" s="2"/>
      <c r="Z42" s="2"/>
      <c r="AA42" s="2"/>
      <c r="AB42" s="2"/>
      <c r="AC42" s="2"/>
      <c r="AD42" s="2">
        <f t="shared" si="3"/>
        <v>211.57649999999921</v>
      </c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  <c r="BE42" s="2"/>
      <c r="BF42" s="2"/>
      <c r="BG42" s="2"/>
      <c r="BH42" s="2"/>
      <c r="BI42" s="2"/>
      <c r="BJ42" s="2"/>
      <c r="BK42" s="2"/>
      <c r="BL42" s="2"/>
      <c r="BM42" s="2"/>
      <c r="BN42" s="2"/>
      <c r="BO42" s="2"/>
      <c r="BP42" s="2"/>
      <c r="BQ42" s="2"/>
      <c r="BR42" s="2"/>
      <c r="BS42" s="2"/>
      <c r="BT42" s="2"/>
      <c r="BU42" s="2"/>
      <c r="BV42" s="2"/>
      <c r="BW42" s="2"/>
      <c r="BX42" s="2"/>
      <c r="BY42" s="2"/>
      <c r="BZ42" s="2"/>
      <c r="CA42" s="2"/>
      <c r="CB42" s="2"/>
      <c r="CC42" s="2"/>
      <c r="CD42" s="2"/>
      <c r="CE42" s="2"/>
    </row>
    <row r="43" spans="1:83" ht="14" x14ac:dyDescent="0.3">
      <c r="A43" s="2">
        <f t="shared" si="4"/>
        <v>20.5</v>
      </c>
      <c r="B43" s="2">
        <v>2767.49</v>
      </c>
      <c r="C43" s="2">
        <v>10499.222</v>
      </c>
      <c r="D43" s="2">
        <v>10764.906000000001</v>
      </c>
      <c r="E43" s="2">
        <v>9401.3430000000008</v>
      </c>
      <c r="F43" s="2">
        <f t="shared" si="5"/>
        <v>1358.2402500000007</v>
      </c>
      <c r="G43">
        <f t="shared" si="0"/>
        <v>-68.712999999999738</v>
      </c>
      <c r="H43" s="2">
        <v>9073.5959999999995</v>
      </c>
      <c r="I43" s="2">
        <v>10709.877</v>
      </c>
      <c r="J43" s="2">
        <v>9088.9040000000005</v>
      </c>
      <c r="K43" s="2">
        <v>10767.89</v>
      </c>
      <c r="L43" s="2">
        <f t="shared" si="6"/>
        <v>2910.06675</v>
      </c>
      <c r="M43">
        <f t="shared" si="1"/>
        <v>-7.9244999999973516</v>
      </c>
      <c r="N43" s="2">
        <v>10820.393</v>
      </c>
      <c r="O43" s="2">
        <v>2050.4679999999998</v>
      </c>
      <c r="P43" s="2">
        <v>9019.0300000000007</v>
      </c>
      <c r="Q43" s="2">
        <v>9052.3220000000001</v>
      </c>
      <c r="R43" s="2">
        <f t="shared" si="7"/>
        <v>735.55325000000084</v>
      </c>
      <c r="S43">
        <f t="shared" si="2"/>
        <v>-30.697999999998501</v>
      </c>
      <c r="T43" s="2">
        <v>10356.141</v>
      </c>
      <c r="U43" s="2">
        <v>10062.184999999999</v>
      </c>
      <c r="V43" s="2">
        <v>8117.5450000000001</v>
      </c>
      <c r="W43" s="2">
        <v>10511.957</v>
      </c>
      <c r="X43" s="2">
        <f t="shared" si="8"/>
        <v>4678.9002499999988</v>
      </c>
      <c r="Y43" s="2"/>
      <c r="Z43" s="2"/>
      <c r="AA43" s="2"/>
      <c r="AB43" s="2"/>
      <c r="AC43" s="2"/>
      <c r="AD43" s="2">
        <f t="shared" si="3"/>
        <v>-51.332500000000437</v>
      </c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  <c r="BE43" s="2"/>
      <c r="BF43" s="2"/>
      <c r="BG43" s="2"/>
      <c r="BH43" s="2"/>
      <c r="BI43" s="2"/>
      <c r="BJ43" s="2"/>
      <c r="BK43" s="2"/>
      <c r="BL43" s="2"/>
      <c r="BM43" s="2"/>
      <c r="BN43" s="2"/>
      <c r="BO43" s="2"/>
      <c r="BP43" s="2"/>
      <c r="BQ43" s="2"/>
      <c r="BR43" s="2"/>
      <c r="BS43" s="2"/>
      <c r="BT43" s="2"/>
      <c r="BU43" s="2"/>
      <c r="BV43" s="2"/>
      <c r="BW43" s="2"/>
      <c r="BX43" s="2"/>
      <c r="BY43" s="2"/>
      <c r="BZ43" s="2"/>
      <c r="CA43" s="2"/>
      <c r="CB43" s="2"/>
      <c r="CC43" s="2"/>
      <c r="CD43" s="2"/>
      <c r="CE43" s="2"/>
    </row>
    <row r="44" spans="1:83" ht="14" x14ac:dyDescent="0.3">
      <c r="A44" s="2">
        <f t="shared" si="4"/>
        <v>21</v>
      </c>
      <c r="B44" s="2">
        <v>2811.732</v>
      </c>
      <c r="C44" s="2">
        <v>10686.937</v>
      </c>
      <c r="D44" s="2">
        <v>10738.465</v>
      </c>
      <c r="E44" s="2">
        <v>9559.4060000000009</v>
      </c>
      <c r="F44" s="2">
        <f t="shared" si="5"/>
        <v>1449.1350000000002</v>
      </c>
      <c r="G44">
        <f t="shared" si="0"/>
        <v>-79.662499999998545</v>
      </c>
      <c r="H44" s="2">
        <v>9241.8510000000006</v>
      </c>
      <c r="I44" s="2">
        <v>10800.566999999999</v>
      </c>
      <c r="J44" s="2">
        <v>9250.2530000000006</v>
      </c>
      <c r="K44" s="2">
        <v>10957.1</v>
      </c>
      <c r="L44" s="2">
        <f t="shared" si="6"/>
        <v>3062.4427500000002</v>
      </c>
      <c r="M44">
        <f t="shared" si="1"/>
        <v>-126.64950000000317</v>
      </c>
      <c r="N44" s="2">
        <v>11010.195</v>
      </c>
      <c r="O44" s="2">
        <v>2045.73</v>
      </c>
      <c r="P44" s="2">
        <v>9179.6219999999994</v>
      </c>
      <c r="Q44" s="2">
        <v>9194.1299999999992</v>
      </c>
      <c r="R44" s="2">
        <f t="shared" si="7"/>
        <v>857.41924999999901</v>
      </c>
      <c r="S44">
        <f t="shared" si="2"/>
        <v>-103.0049999999992</v>
      </c>
      <c r="T44" s="2">
        <v>10544.951999999999</v>
      </c>
      <c r="U44" s="2">
        <v>10195.834999999999</v>
      </c>
      <c r="V44" s="2">
        <v>8101.0659999999998</v>
      </c>
      <c r="W44" s="2">
        <v>10692.471</v>
      </c>
      <c r="X44" s="2">
        <f t="shared" si="8"/>
        <v>4784.6884999999984</v>
      </c>
      <c r="Y44" s="2"/>
      <c r="Z44" s="2"/>
      <c r="AA44" s="2"/>
      <c r="AB44" s="2"/>
      <c r="AC44" s="2"/>
      <c r="AD44" s="2">
        <f t="shared" si="3"/>
        <v>-110.45149999999558</v>
      </c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  <c r="BE44" s="2"/>
      <c r="BF44" s="2"/>
      <c r="BG44" s="2"/>
      <c r="BH44" s="2"/>
      <c r="BI44" s="2"/>
      <c r="BJ44" s="2"/>
      <c r="BK44" s="2"/>
      <c r="BL44" s="2"/>
      <c r="BM44" s="2"/>
      <c r="BN44" s="2"/>
      <c r="BO44" s="2"/>
      <c r="BP44" s="2"/>
      <c r="BQ44" s="2"/>
      <c r="BR44" s="2"/>
      <c r="BS44" s="2"/>
      <c r="BT44" s="2"/>
      <c r="BU44" s="2"/>
      <c r="BV44" s="2"/>
      <c r="BW44" s="2"/>
      <c r="BX44" s="2"/>
      <c r="BY44" s="2"/>
      <c r="BZ44" s="2"/>
      <c r="CA44" s="2"/>
      <c r="CB44" s="2"/>
      <c r="CC44" s="2"/>
      <c r="CD44" s="2"/>
      <c r="CE44" s="2"/>
    </row>
    <row r="45" spans="1:83" ht="14" x14ac:dyDescent="0.3">
      <c r="A45" s="2">
        <f t="shared" si="4"/>
        <v>21.5</v>
      </c>
      <c r="B45" s="2">
        <v>2804.069</v>
      </c>
      <c r="C45" s="2">
        <v>10658.255999999999</v>
      </c>
      <c r="D45" s="2">
        <v>10667.555</v>
      </c>
      <c r="E45" s="2">
        <v>9529.2340000000004</v>
      </c>
      <c r="F45" s="2">
        <f t="shared" si="5"/>
        <v>1414.7785000000003</v>
      </c>
      <c r="G45">
        <f t="shared" si="0"/>
        <v>-43.592000000004191</v>
      </c>
      <c r="H45" s="2">
        <v>9209.82</v>
      </c>
      <c r="I45" s="2">
        <v>10872.607</v>
      </c>
      <c r="J45" s="2">
        <v>9229.7080000000005</v>
      </c>
      <c r="K45" s="2">
        <v>10921.787</v>
      </c>
      <c r="L45" s="2">
        <f t="shared" si="6"/>
        <v>3058.4805000000015</v>
      </c>
      <c r="M45">
        <f t="shared" si="1"/>
        <v>-57.748999999999796</v>
      </c>
      <c r="N45" s="2">
        <v>10984.278</v>
      </c>
      <c r="O45" s="2">
        <v>2034.73</v>
      </c>
      <c r="P45" s="2">
        <v>9158.1689999999999</v>
      </c>
      <c r="Q45" s="2">
        <v>9191.1039999999994</v>
      </c>
      <c r="R45" s="2">
        <f t="shared" si="7"/>
        <v>842.07024999999976</v>
      </c>
      <c r="S45">
        <f t="shared" si="2"/>
        <v>-26.887499999998909</v>
      </c>
      <c r="T45" s="2">
        <v>10516.205</v>
      </c>
      <c r="U45" s="2">
        <v>10211.971</v>
      </c>
      <c r="V45" s="2">
        <v>8047.9709999999995</v>
      </c>
      <c r="W45" s="2">
        <v>10666.683999999999</v>
      </c>
      <c r="X45" s="2">
        <f t="shared" si="8"/>
        <v>4759.0222499999982</v>
      </c>
      <c r="Y45" s="2"/>
      <c r="Z45" s="2"/>
      <c r="AA45" s="2"/>
      <c r="AB45" s="2"/>
      <c r="AC45" s="2"/>
      <c r="AD45" s="2">
        <f t="shared" si="3"/>
        <v>437.98799999999756</v>
      </c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  <c r="BE45" s="2"/>
      <c r="BF45" s="2"/>
      <c r="BG45" s="2"/>
      <c r="BH45" s="2"/>
      <c r="BI45" s="2"/>
      <c r="BJ45" s="2"/>
      <c r="BK45" s="2"/>
      <c r="BL45" s="2"/>
      <c r="BM45" s="2"/>
      <c r="BN45" s="2"/>
      <c r="BO45" s="2"/>
      <c r="BP45" s="2"/>
      <c r="BQ45" s="2"/>
      <c r="BR45" s="2"/>
      <c r="BS45" s="2"/>
      <c r="BT45" s="2"/>
      <c r="BU45" s="2"/>
      <c r="BV45" s="2"/>
      <c r="BW45" s="2"/>
      <c r="BX45" s="2"/>
      <c r="BY45" s="2"/>
      <c r="BZ45" s="2"/>
      <c r="CA45" s="2"/>
      <c r="CB45" s="2"/>
      <c r="CC45" s="2"/>
      <c r="CD45" s="2"/>
      <c r="CE45" s="2"/>
    </row>
    <row r="46" spans="1:83" ht="14" x14ac:dyDescent="0.3">
      <c r="A46" s="2">
        <f t="shared" si="4"/>
        <v>22</v>
      </c>
      <c r="B46" s="2">
        <v>2787.2719999999999</v>
      </c>
      <c r="C46" s="2">
        <v>10587.441999999999</v>
      </c>
      <c r="D46" s="2">
        <v>10645.696</v>
      </c>
      <c r="E46" s="2">
        <v>9479.3790000000008</v>
      </c>
      <c r="F46" s="2">
        <f t="shared" si="5"/>
        <v>1374.9472500000011</v>
      </c>
      <c r="G46">
        <f t="shared" si="0"/>
        <v>13.778000000002066</v>
      </c>
      <c r="H46" s="2">
        <v>9131.0570000000007</v>
      </c>
      <c r="I46" s="2">
        <v>10814.216</v>
      </c>
      <c r="J46" s="2">
        <v>9175.7160000000003</v>
      </c>
      <c r="K46" s="2">
        <v>10859.634</v>
      </c>
      <c r="L46" s="2">
        <f t="shared" si="6"/>
        <v>2995.1557499999999</v>
      </c>
      <c r="M46">
        <f t="shared" si="1"/>
        <v>3.9809999999997672</v>
      </c>
      <c r="N46" s="2">
        <v>10920.558000000001</v>
      </c>
      <c r="O46" s="2">
        <v>2029.049</v>
      </c>
      <c r="P46" s="2">
        <v>9100.0959999999995</v>
      </c>
      <c r="Q46" s="2">
        <v>9112.5679999999993</v>
      </c>
      <c r="R46" s="2">
        <f t="shared" si="7"/>
        <v>790.56775000000016</v>
      </c>
      <c r="S46">
        <f t="shared" si="2"/>
        <v>-16.530500000002576</v>
      </c>
      <c r="T46" s="2">
        <v>10442.456</v>
      </c>
      <c r="U46" s="2">
        <v>10155.448</v>
      </c>
      <c r="V46" s="2">
        <v>8030.9170000000004</v>
      </c>
      <c r="W46" s="2">
        <v>10596.226000000001</v>
      </c>
      <c r="X46" s="2">
        <f t="shared" si="8"/>
        <v>4703.7965000000004</v>
      </c>
      <c r="Y46" s="2"/>
      <c r="Z46" s="2"/>
      <c r="AA46" s="2"/>
      <c r="AB46" s="2"/>
      <c r="AC46" s="2"/>
      <c r="AD46" s="2">
        <f t="shared" si="3"/>
        <v>502.78900000000431</v>
      </c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  <c r="BE46" s="2"/>
      <c r="BF46" s="2"/>
      <c r="BG46" s="2"/>
      <c r="BH46" s="2"/>
      <c r="BI46" s="2"/>
      <c r="BJ46" s="2"/>
      <c r="BK46" s="2"/>
      <c r="BL46" s="2"/>
      <c r="BM46" s="2"/>
      <c r="BN46" s="2"/>
      <c r="BO46" s="2"/>
      <c r="BP46" s="2"/>
      <c r="BQ46" s="2"/>
      <c r="BR46" s="2"/>
      <c r="BS46" s="2"/>
      <c r="BT46" s="2"/>
      <c r="BU46" s="2"/>
      <c r="BV46" s="2"/>
      <c r="BW46" s="2"/>
      <c r="BX46" s="2"/>
      <c r="BY46" s="2"/>
      <c r="BZ46" s="2"/>
      <c r="CA46" s="2"/>
      <c r="CB46" s="2"/>
      <c r="CC46" s="2"/>
      <c r="CD46" s="2"/>
      <c r="CE46" s="2"/>
    </row>
    <row r="47" spans="1:83" ht="14" x14ac:dyDescent="0.3">
      <c r="A47" s="2">
        <f t="shared" si="4"/>
        <v>22.5</v>
      </c>
      <c r="B47" s="2">
        <v>2779.0279999999998</v>
      </c>
      <c r="C47" s="2">
        <v>10554.968999999999</v>
      </c>
      <c r="D47" s="2">
        <v>10627.72</v>
      </c>
      <c r="E47" s="2">
        <v>9450.8880000000008</v>
      </c>
      <c r="F47" s="2">
        <f t="shared" si="5"/>
        <v>1353.151249999999</v>
      </c>
      <c r="G47">
        <f t="shared" si="0"/>
        <v>86.735500000002503</v>
      </c>
      <c r="H47" s="2">
        <v>9121.8420000000006</v>
      </c>
      <c r="I47" s="2">
        <v>10772.375</v>
      </c>
      <c r="J47" s="2">
        <v>9144.3670000000002</v>
      </c>
      <c r="K47" s="2">
        <v>10826.540999999999</v>
      </c>
      <c r="L47" s="2">
        <f t="shared" si="6"/>
        <v>2966.28125</v>
      </c>
      <c r="M47">
        <f t="shared" si="1"/>
        <v>86.599999999998545</v>
      </c>
      <c r="N47" s="2">
        <v>10889.76</v>
      </c>
      <c r="O47" s="2">
        <v>2026.751</v>
      </c>
      <c r="P47" s="2">
        <v>9078.3209999999999</v>
      </c>
      <c r="Q47" s="2">
        <v>9113.6640000000007</v>
      </c>
      <c r="R47" s="2">
        <f t="shared" si="7"/>
        <v>777.12400000000071</v>
      </c>
      <c r="S47">
        <f t="shared" si="2"/>
        <v>68.662000000002081</v>
      </c>
      <c r="T47" s="2">
        <v>10432.284</v>
      </c>
      <c r="U47" s="2">
        <v>10130.682000000001</v>
      </c>
      <c r="V47" s="2">
        <v>8498.7569999999996</v>
      </c>
      <c r="W47" s="2">
        <v>10577.156999999999</v>
      </c>
      <c r="X47" s="2">
        <f t="shared" si="8"/>
        <v>4922.7904999999992</v>
      </c>
      <c r="Y47" s="2"/>
      <c r="Z47" s="2"/>
      <c r="AA47" s="2"/>
      <c r="AB47" s="2"/>
      <c r="AC47" s="2"/>
      <c r="AD47" s="2">
        <f t="shared" si="3"/>
        <v>-869.1050000000032</v>
      </c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  <c r="BE47" s="2"/>
      <c r="BF47" s="2"/>
      <c r="BG47" s="2"/>
      <c r="BH47" s="2"/>
      <c r="BI47" s="2"/>
      <c r="BJ47" s="2"/>
      <c r="BK47" s="2"/>
      <c r="BL47" s="3"/>
      <c r="BM47" s="2"/>
      <c r="BN47" s="2"/>
      <c r="BO47" s="2"/>
      <c r="BP47" s="2"/>
      <c r="BQ47" s="2"/>
      <c r="BR47" s="2"/>
      <c r="BS47" s="2"/>
      <c r="BT47" s="2"/>
      <c r="BU47" s="2"/>
      <c r="BV47" s="2"/>
      <c r="BW47" s="2"/>
      <c r="BX47" s="2"/>
      <c r="BY47" s="2"/>
      <c r="BZ47" s="2"/>
      <c r="CA47" s="2"/>
      <c r="CB47" s="2"/>
      <c r="CC47" s="2"/>
      <c r="CD47" s="2"/>
      <c r="CE47" s="2"/>
    </row>
    <row r="48" spans="1:83" ht="14" x14ac:dyDescent="0.3">
      <c r="A48" s="2">
        <f t="shared" si="4"/>
        <v>23</v>
      </c>
      <c r="B48" s="2">
        <v>2773.3409999999999</v>
      </c>
      <c r="C48" s="2">
        <v>10542.414000000001</v>
      </c>
      <c r="D48" s="2">
        <v>10687.329</v>
      </c>
      <c r="E48" s="2">
        <v>9437.0769999999993</v>
      </c>
      <c r="F48" s="2">
        <f t="shared" si="5"/>
        <v>1360.04025</v>
      </c>
      <c r="G48">
        <f t="shared" si="0"/>
        <v>25.97899999999936</v>
      </c>
      <c r="H48" s="2">
        <v>9155.4670000000006</v>
      </c>
      <c r="I48" s="2">
        <v>10765.571</v>
      </c>
      <c r="J48" s="2">
        <v>9137.4159999999993</v>
      </c>
      <c r="K48" s="2">
        <v>10814.633</v>
      </c>
      <c r="L48" s="2">
        <f t="shared" si="6"/>
        <v>2968.2717499999999</v>
      </c>
      <c r="M48">
        <f t="shared" si="1"/>
        <v>45.993999999998778</v>
      </c>
      <c r="N48" s="2">
        <v>10880.43</v>
      </c>
      <c r="O48" s="2">
        <v>2033.367</v>
      </c>
      <c r="P48" s="2">
        <v>9072.11</v>
      </c>
      <c r="Q48" s="2">
        <v>9089.5280000000002</v>
      </c>
      <c r="R48" s="2">
        <f t="shared" si="7"/>
        <v>768.85874999999942</v>
      </c>
      <c r="S48">
        <f t="shared" si="2"/>
        <v>65.166499999997541</v>
      </c>
      <c r="T48" s="2">
        <v>10404.678</v>
      </c>
      <c r="U48" s="2">
        <v>10116.948</v>
      </c>
      <c r="V48" s="2">
        <v>9029.0830000000005</v>
      </c>
      <c r="W48" s="2">
        <v>10564.383</v>
      </c>
      <c r="X48" s="2">
        <f t="shared" si="8"/>
        <v>5174.1850000000013</v>
      </c>
      <c r="Y48" s="2"/>
      <c r="Z48" s="2"/>
      <c r="AA48" s="2"/>
      <c r="AB48" s="2"/>
      <c r="AC48" s="2"/>
      <c r="AD48" s="2">
        <f t="shared" si="3"/>
        <v>954.91050000000178</v>
      </c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  <c r="BE48" s="2"/>
      <c r="BF48" s="2"/>
      <c r="BG48" s="2"/>
      <c r="BH48" s="2"/>
      <c r="BI48" s="2"/>
      <c r="BJ48" s="2"/>
      <c r="BK48" s="2"/>
      <c r="BL48" s="2"/>
      <c r="BM48" s="2"/>
      <c r="BN48" s="2"/>
      <c r="BO48" s="2"/>
      <c r="BP48" s="2"/>
      <c r="BQ48" s="2"/>
      <c r="BR48" s="2"/>
      <c r="BS48" s="2"/>
      <c r="BT48" s="2"/>
      <c r="BU48" s="2"/>
      <c r="BV48" s="2"/>
      <c r="BW48" s="2"/>
      <c r="BX48" s="2"/>
      <c r="BY48" s="2"/>
      <c r="BZ48" s="2"/>
      <c r="CA48" s="2"/>
      <c r="CB48" s="2"/>
      <c r="CC48" s="2"/>
      <c r="CD48" s="2"/>
      <c r="CE48" s="2"/>
    </row>
    <row r="49" spans="1:83" ht="14" x14ac:dyDescent="0.3">
      <c r="A49" s="2">
        <f t="shared" si="4"/>
        <v>23.5</v>
      </c>
      <c r="B49" s="2">
        <v>2787.377</v>
      </c>
      <c r="C49" s="2">
        <v>10600.538</v>
      </c>
      <c r="D49" s="2">
        <v>10734.332</v>
      </c>
      <c r="E49" s="2">
        <v>9491.3850000000002</v>
      </c>
      <c r="F49" s="2">
        <f t="shared" si="5"/>
        <v>1403.4080000000013</v>
      </c>
      <c r="G49">
        <f t="shared" si="0"/>
        <v>-123.52549999999974</v>
      </c>
      <c r="H49" s="2">
        <v>9203.4339999999993</v>
      </c>
      <c r="I49" s="2">
        <v>10808.138000000001</v>
      </c>
      <c r="J49" s="2">
        <v>9175.8760000000002</v>
      </c>
      <c r="K49" s="2">
        <v>10858.839</v>
      </c>
      <c r="L49" s="2">
        <f>((H49+I49+J49+K49)/4)-7000</f>
        <v>3011.5717499999992</v>
      </c>
      <c r="M49">
        <f t="shared" si="1"/>
        <v>-158.80099999999948</v>
      </c>
      <c r="N49" s="2">
        <v>10924.895</v>
      </c>
      <c r="O49" s="2">
        <v>2045.116</v>
      </c>
      <c r="P49" s="2">
        <v>9104.8950000000004</v>
      </c>
      <c r="Q49" s="2">
        <v>9137.8529999999992</v>
      </c>
      <c r="R49" s="2">
        <f t="shared" si="7"/>
        <v>803.18975000000046</v>
      </c>
      <c r="S49">
        <f t="shared" si="2"/>
        <v>-97.620499999997264</v>
      </c>
      <c r="T49" s="2">
        <v>10435.244000000001</v>
      </c>
      <c r="U49" s="2">
        <v>10160.091</v>
      </c>
      <c r="V49" s="2">
        <v>8101.5519999999997</v>
      </c>
      <c r="W49" s="2">
        <v>10604.925999999999</v>
      </c>
      <c r="X49" s="2">
        <f t="shared" si="8"/>
        <v>4739.6324999999997</v>
      </c>
      <c r="Y49" s="2"/>
      <c r="Z49" s="2"/>
      <c r="AA49" s="2"/>
      <c r="AB49" s="2"/>
      <c r="AC49" s="2"/>
      <c r="AD49" s="2">
        <f t="shared" si="3"/>
        <v>-156.03800000000047</v>
      </c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3"/>
      <c r="AU49" s="2"/>
      <c r="AV49" s="2"/>
      <c r="AW49" s="2"/>
      <c r="AX49" s="2"/>
      <c r="AY49" s="2"/>
      <c r="AZ49" s="2"/>
      <c r="BA49" s="2"/>
      <c r="BB49" s="2"/>
      <c r="BC49" s="2"/>
      <c r="BD49" s="2"/>
      <c r="BE49" s="2"/>
      <c r="BF49" s="2"/>
      <c r="BG49" s="2"/>
      <c r="BH49" s="2"/>
      <c r="BI49" s="2"/>
      <c r="BJ49" s="2"/>
      <c r="BK49" s="2"/>
      <c r="BL49" s="2"/>
      <c r="BM49" s="2"/>
      <c r="BN49" s="2"/>
      <c r="BO49" s="2"/>
      <c r="BP49" s="2"/>
      <c r="BQ49" s="2"/>
      <c r="BR49" s="2"/>
      <c r="BS49" s="2"/>
      <c r="BT49" s="2"/>
      <c r="BU49" s="2"/>
      <c r="BV49" s="2"/>
      <c r="BW49" s="2"/>
      <c r="BX49" s="2"/>
      <c r="BY49" s="2"/>
      <c r="BZ49" s="2"/>
      <c r="CA49" s="2"/>
      <c r="CB49" s="2"/>
      <c r="CC49" s="2"/>
      <c r="CD49" s="2"/>
      <c r="CE49" s="2"/>
    </row>
    <row r="50" spans="1:83" ht="14" x14ac:dyDescent="0.3">
      <c r="A50" s="2">
        <f t="shared" si="4"/>
        <v>24</v>
      </c>
      <c r="B50" s="2">
        <v>2803.3139999999999</v>
      </c>
      <c r="C50" s="2">
        <v>10653.351000000001</v>
      </c>
      <c r="D50" s="2">
        <v>10666.561</v>
      </c>
      <c r="E50" s="2">
        <v>9542.3639999999996</v>
      </c>
      <c r="F50" s="2">
        <f t="shared" si="5"/>
        <v>1416.3975000000009</v>
      </c>
      <c r="G50">
        <f t="shared" si="0"/>
        <v>-58.646500000002561</v>
      </c>
      <c r="H50" s="2">
        <v>9134.0630000000001</v>
      </c>
      <c r="I50" s="2">
        <v>10868.016</v>
      </c>
      <c r="J50" s="2">
        <v>9219.1039999999994</v>
      </c>
      <c r="K50" s="2">
        <v>10917.092000000001</v>
      </c>
      <c r="L50" s="2">
        <f t="shared" si="6"/>
        <v>3034.5687499999985</v>
      </c>
      <c r="M50">
        <f t="shared" si="1"/>
        <v>-79.840499999998428</v>
      </c>
      <c r="N50" s="2">
        <v>10987.441999999999</v>
      </c>
      <c r="O50" s="2">
        <v>2028.6079999999999</v>
      </c>
      <c r="P50" s="2">
        <v>9155.4930000000004</v>
      </c>
      <c r="Q50" s="2">
        <v>9171.5490000000009</v>
      </c>
      <c r="R50" s="2">
        <f t="shared" si="7"/>
        <v>835.77299999999923</v>
      </c>
      <c r="S50">
        <f t="shared" si="2"/>
        <v>-119.58550000000105</v>
      </c>
      <c r="T50" s="2">
        <v>10509.308999999999</v>
      </c>
      <c r="U50" s="2">
        <v>10181.103999999999</v>
      </c>
      <c r="V50" s="2">
        <v>8998.4169999999995</v>
      </c>
      <c r="W50" s="2">
        <v>10664.887000000001</v>
      </c>
      <c r="X50" s="2">
        <f t="shared" si="8"/>
        <v>5217.0877500000006</v>
      </c>
      <c r="Y50" s="2"/>
      <c r="Z50" s="2"/>
      <c r="AA50" s="2"/>
      <c r="AB50" s="2"/>
      <c r="AC50" s="2"/>
      <c r="AD50" s="2">
        <f t="shared" si="3"/>
        <v>-49.899499999999534</v>
      </c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  <c r="BE50" s="2"/>
      <c r="BF50" s="2"/>
      <c r="BG50" s="2"/>
      <c r="BH50" s="2"/>
      <c r="BI50" s="2"/>
      <c r="BJ50" s="2"/>
      <c r="BK50" s="2"/>
      <c r="BL50" s="2"/>
      <c r="BM50" s="2"/>
      <c r="BN50" s="2"/>
      <c r="BO50" s="2"/>
      <c r="BP50" s="2"/>
      <c r="BQ50" s="2"/>
      <c r="BR50" s="2"/>
      <c r="BS50" s="2"/>
      <c r="BT50" s="2"/>
      <c r="BU50" s="2"/>
      <c r="BV50" s="2"/>
      <c r="BW50" s="2"/>
      <c r="BX50" s="2"/>
      <c r="BY50" s="2"/>
      <c r="BZ50" s="2"/>
      <c r="CA50" s="2"/>
      <c r="CB50" s="2"/>
      <c r="CC50" s="2"/>
      <c r="CD50" s="2"/>
      <c r="CE50" s="2"/>
    </row>
    <row r="51" spans="1:83" ht="14" x14ac:dyDescent="0.3">
      <c r="A51" s="2">
        <f t="shared" si="4"/>
        <v>24.5</v>
      </c>
      <c r="B51" s="2">
        <v>2782.15</v>
      </c>
      <c r="C51" s="2">
        <v>10577.825000000001</v>
      </c>
      <c r="D51" s="2">
        <v>10584.386</v>
      </c>
      <c r="E51" s="2">
        <v>9474.1779999999999</v>
      </c>
      <c r="F51" s="2">
        <f t="shared" si="5"/>
        <v>1354.6347500000011</v>
      </c>
      <c r="G51">
        <f t="shared" si="0"/>
        <v>-5.904500000000553</v>
      </c>
      <c r="H51" s="2">
        <v>9061.8629999999994</v>
      </c>
      <c r="I51" s="2">
        <v>10777.204</v>
      </c>
      <c r="J51" s="2">
        <v>9151.0859999999993</v>
      </c>
      <c r="K51" s="2">
        <v>10830.52</v>
      </c>
      <c r="L51" s="2">
        <f t="shared" si="6"/>
        <v>2955.1682499999988</v>
      </c>
      <c r="M51">
        <f t="shared" si="1"/>
        <v>72.21849999999904</v>
      </c>
      <c r="N51" s="2">
        <v>10895.477000000001</v>
      </c>
      <c r="O51" s="2">
        <v>2051.0749999999998</v>
      </c>
      <c r="P51" s="2">
        <v>9083.5540000000001</v>
      </c>
      <c r="Q51" s="2">
        <v>9117.7450000000008</v>
      </c>
      <c r="R51" s="2">
        <f t="shared" si="7"/>
        <v>786.9627500000006</v>
      </c>
      <c r="S51">
        <f t="shared" si="2"/>
        <v>81.829999999998108</v>
      </c>
      <c r="T51" s="2">
        <v>10421.587</v>
      </c>
      <c r="U51" s="2">
        <v>10129.003000000001</v>
      </c>
      <c r="V51" s="2">
        <v>8938.3410000000003</v>
      </c>
      <c r="W51" s="2">
        <v>10573.093000000001</v>
      </c>
      <c r="X51" s="2">
        <f t="shared" si="8"/>
        <v>5139.0687500000004</v>
      </c>
      <c r="Y51" s="2"/>
      <c r="Z51" s="2"/>
      <c r="AA51" s="2"/>
      <c r="AB51" s="2"/>
      <c r="AC51" s="2"/>
      <c r="AD51" s="2">
        <f t="shared" si="3"/>
        <v>84.95249999999578</v>
      </c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  <c r="BE51" s="2"/>
      <c r="BF51" s="2"/>
      <c r="BG51" s="2"/>
      <c r="BH51" s="2"/>
      <c r="BI51" s="2"/>
      <c r="BJ51" s="2"/>
      <c r="BK51" s="2"/>
      <c r="BL51" s="2"/>
      <c r="BM51" s="2"/>
      <c r="BN51" s="2"/>
      <c r="BO51" s="2"/>
      <c r="BP51" s="2"/>
      <c r="BQ51" s="3"/>
      <c r="BR51" s="2"/>
      <c r="BS51" s="2"/>
      <c r="BT51" s="2"/>
      <c r="BU51" s="2"/>
      <c r="BV51" s="2"/>
      <c r="BW51" s="2"/>
      <c r="BX51" s="2"/>
      <c r="BY51" s="2"/>
      <c r="BZ51" s="2"/>
      <c r="CA51" s="2"/>
      <c r="CB51" s="2"/>
      <c r="CC51" s="2"/>
      <c r="CD51" s="2"/>
      <c r="CE51" s="2"/>
    </row>
    <row r="52" spans="1:83" ht="14" x14ac:dyDescent="0.3">
      <c r="A52" s="2">
        <f t="shared" si="4"/>
        <v>25</v>
      </c>
      <c r="B52" s="2">
        <v>2765.3609999999999</v>
      </c>
      <c r="C52" s="2">
        <v>10498.257</v>
      </c>
      <c r="D52" s="2">
        <v>10635.334000000001</v>
      </c>
      <c r="E52" s="2">
        <v>9402.2939999999999</v>
      </c>
      <c r="F52" s="2">
        <f t="shared" si="5"/>
        <v>1325.3114999999998</v>
      </c>
      <c r="G52">
        <f t="shared" si="0"/>
        <v>-72.461499999997613</v>
      </c>
      <c r="H52" s="2">
        <v>9119.3330000000005</v>
      </c>
      <c r="I52" s="2">
        <v>10700.103999999999</v>
      </c>
      <c r="J52" s="2">
        <v>9088.0540000000001</v>
      </c>
      <c r="K52" s="2">
        <v>10753.501</v>
      </c>
      <c r="L52" s="2">
        <f t="shared" si="6"/>
        <v>2915.2479999999996</v>
      </c>
      <c r="M52">
        <f t="shared" si="1"/>
        <v>13.101500000004307</v>
      </c>
      <c r="N52" s="2">
        <v>10825.315000000001</v>
      </c>
      <c r="O52" s="2">
        <v>2023.9749999999999</v>
      </c>
      <c r="P52" s="2">
        <v>9023.24</v>
      </c>
      <c r="Q52" s="2">
        <v>9036.15</v>
      </c>
      <c r="R52" s="2">
        <f t="shared" si="7"/>
        <v>727.17000000000007</v>
      </c>
      <c r="S52">
        <f t="shared" si="2"/>
        <v>3.7045000000034634</v>
      </c>
      <c r="T52" s="2">
        <v>10353.766</v>
      </c>
      <c r="U52" s="2">
        <v>10066.352999999999</v>
      </c>
      <c r="V52" s="2">
        <v>8985.0020000000004</v>
      </c>
      <c r="W52" s="2">
        <v>10509.047</v>
      </c>
      <c r="X52" s="2">
        <f t="shared" si="8"/>
        <v>5114.1190000000006</v>
      </c>
      <c r="Y52" s="2"/>
      <c r="Z52" s="2"/>
      <c r="AA52" s="2"/>
      <c r="AB52" s="2"/>
      <c r="AC52" s="2"/>
      <c r="AD52" s="2">
        <f t="shared" si="3"/>
        <v>30.758500000003551</v>
      </c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3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  <c r="BE52" s="2"/>
      <c r="BF52" s="2"/>
      <c r="BG52" s="2"/>
      <c r="BH52" s="2"/>
      <c r="BI52" s="2"/>
      <c r="BJ52" s="2"/>
      <c r="BK52" s="2"/>
      <c r="BL52" s="2"/>
      <c r="BM52" s="2"/>
      <c r="BN52" s="2"/>
      <c r="BO52" s="2"/>
      <c r="BP52" s="2"/>
      <c r="BQ52" s="2"/>
      <c r="BR52" s="2"/>
      <c r="BS52" s="2"/>
      <c r="BT52" s="2"/>
      <c r="BU52" s="2"/>
      <c r="BV52" s="2"/>
      <c r="BW52" s="2"/>
      <c r="BX52" s="2"/>
      <c r="BY52" s="2"/>
      <c r="BZ52" s="2"/>
      <c r="CA52" s="2"/>
      <c r="CB52" s="2"/>
      <c r="CC52" s="2"/>
      <c r="CD52" s="2"/>
      <c r="CE52" s="2"/>
    </row>
    <row r="53" spans="1:83" ht="14" x14ac:dyDescent="0.3">
      <c r="A53" s="2">
        <f t="shared" si="4"/>
        <v>25.5</v>
      </c>
      <c r="B53" s="2">
        <v>2776.3229999999999</v>
      </c>
      <c r="C53" s="2">
        <v>10544.092000000001</v>
      </c>
      <c r="D53" s="2">
        <v>10518.124</v>
      </c>
      <c r="E53" s="2">
        <v>9450.8979999999992</v>
      </c>
      <c r="F53" s="2">
        <f t="shared" si="5"/>
        <v>1322.3592499999995</v>
      </c>
      <c r="G53">
        <f t="shared" si="0"/>
        <v>145.93449999999939</v>
      </c>
      <c r="H53" s="2">
        <v>9111.9750000000004</v>
      </c>
      <c r="I53" s="2">
        <v>10747.377</v>
      </c>
      <c r="J53" s="2">
        <v>9137.348</v>
      </c>
      <c r="K53" s="2">
        <v>10808.728999999999</v>
      </c>
      <c r="L53" s="2">
        <f t="shared" si="6"/>
        <v>2951.3572499999991</v>
      </c>
      <c r="M53">
        <f t="shared" si="1"/>
        <v>4.8794999999990978</v>
      </c>
      <c r="N53" s="2">
        <v>10865.61</v>
      </c>
      <c r="O53" s="2">
        <v>2063.5050000000001</v>
      </c>
      <c r="P53" s="2">
        <v>9054.7559999999994</v>
      </c>
      <c r="Q53" s="2">
        <v>9088.4689999999991</v>
      </c>
      <c r="R53" s="2">
        <f t="shared" si="7"/>
        <v>768.08499999999913</v>
      </c>
      <c r="S53">
        <f t="shared" si="2"/>
        <v>10.743500000000495</v>
      </c>
      <c r="T53" s="2">
        <v>10388.343000000001</v>
      </c>
      <c r="U53" s="2">
        <v>10107.039000000001</v>
      </c>
      <c r="V53" s="2">
        <v>9011.98</v>
      </c>
      <c r="W53" s="2">
        <v>10546.114</v>
      </c>
      <c r="X53" s="2">
        <f t="shared" si="8"/>
        <v>5156.5952499999985</v>
      </c>
      <c r="Y53" s="2"/>
      <c r="Z53" s="2"/>
      <c r="AA53" s="2"/>
      <c r="AB53" s="2"/>
      <c r="AC53" s="2"/>
      <c r="AD53" s="2">
        <f t="shared" si="3"/>
        <v>-15.850500000000466</v>
      </c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  <c r="BD53" s="3"/>
      <c r="BE53" s="2"/>
      <c r="BF53" s="2"/>
      <c r="BG53" s="2"/>
      <c r="BH53" s="2"/>
      <c r="BI53" s="2"/>
      <c r="BJ53" s="2"/>
      <c r="BK53" s="2"/>
      <c r="BL53" s="2"/>
      <c r="BM53" s="2"/>
      <c r="BN53" s="2"/>
      <c r="BO53" s="2"/>
      <c r="BP53" s="2"/>
      <c r="BQ53" s="2"/>
      <c r="BR53" s="2"/>
      <c r="BS53" s="2"/>
      <c r="BT53" s="2"/>
      <c r="BU53" s="2"/>
      <c r="BV53" s="2"/>
      <c r="BW53" s="2"/>
      <c r="BX53" s="2"/>
      <c r="BY53" s="2"/>
      <c r="BZ53" s="2"/>
      <c r="CA53" s="2"/>
      <c r="CB53" s="2"/>
      <c r="CC53" s="2"/>
      <c r="CD53" s="2"/>
      <c r="CE53" s="2"/>
    </row>
    <row r="54" spans="1:83" ht="14" x14ac:dyDescent="0.3">
      <c r="A54" s="2">
        <f t="shared" si="4"/>
        <v>26</v>
      </c>
      <c r="B54" s="2">
        <v>2739.9389999999999</v>
      </c>
      <c r="C54" s="2">
        <v>10429.058000000001</v>
      </c>
      <c r="D54" s="2">
        <v>10640.296</v>
      </c>
      <c r="E54" s="2">
        <v>9335.2209999999995</v>
      </c>
      <c r="F54" s="2">
        <f t="shared" si="5"/>
        <v>1286.1285000000007</v>
      </c>
      <c r="G54">
        <f t="shared" si="0"/>
        <v>8.7799999999988358</v>
      </c>
      <c r="H54" s="2">
        <v>9118.6540000000005</v>
      </c>
      <c r="I54" s="2">
        <v>10764.627</v>
      </c>
      <c r="J54" s="2">
        <v>9147.34</v>
      </c>
      <c r="K54" s="2">
        <v>10801.011</v>
      </c>
      <c r="L54" s="2">
        <f t="shared" si="6"/>
        <v>2957.9080000000013</v>
      </c>
      <c r="M54">
        <f t="shared" si="1"/>
        <v>20.216000000000349</v>
      </c>
      <c r="N54" s="2">
        <v>10889.074000000001</v>
      </c>
      <c r="O54" s="2">
        <v>2023.71</v>
      </c>
      <c r="P54" s="2">
        <v>9076.0059999999994</v>
      </c>
      <c r="Q54" s="2">
        <v>9090.9590000000007</v>
      </c>
      <c r="R54" s="2">
        <f t="shared" si="7"/>
        <v>769.93725000000086</v>
      </c>
      <c r="S54">
        <f t="shared" si="2"/>
        <v>-0.38650000000052387</v>
      </c>
      <c r="T54" s="3">
        <v>10415.92</v>
      </c>
      <c r="U54" s="2">
        <v>10136.777</v>
      </c>
      <c r="V54" s="2">
        <v>8999.2119999999995</v>
      </c>
      <c r="W54" s="2">
        <v>10570.41</v>
      </c>
      <c r="X54" s="2">
        <f t="shared" si="8"/>
        <v>5171.9745000000003</v>
      </c>
      <c r="Y54" s="2"/>
      <c r="Z54" s="2"/>
      <c r="AA54" s="2"/>
      <c r="AB54" s="2"/>
      <c r="AC54" s="2"/>
      <c r="AD54" s="2">
        <f t="shared" si="3"/>
        <v>14.582999999998719</v>
      </c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  <c r="BE54" s="2"/>
      <c r="BF54" s="2"/>
      <c r="BG54" s="2"/>
      <c r="BH54" s="2"/>
      <c r="BI54" s="2"/>
      <c r="BJ54" s="2"/>
      <c r="BK54" s="2"/>
      <c r="BL54" s="3"/>
      <c r="BM54" s="2"/>
      <c r="BN54" s="2"/>
      <c r="BO54" s="2"/>
      <c r="BP54" s="2"/>
      <c r="BQ54" s="2"/>
      <c r="BR54" s="2"/>
      <c r="BS54" s="2"/>
      <c r="BT54" s="2"/>
      <c r="BU54" s="2"/>
      <c r="BV54" s="2"/>
      <c r="BW54" s="2"/>
      <c r="BX54" s="2"/>
      <c r="BY54" s="2"/>
      <c r="BZ54" s="2"/>
      <c r="CA54" s="2"/>
      <c r="CB54" s="2"/>
      <c r="CC54" s="2"/>
      <c r="CD54" s="2"/>
      <c r="CE54" s="2"/>
    </row>
    <row r="55" spans="1:83" ht="14" x14ac:dyDescent="0.3">
      <c r="A55" s="2">
        <f t="shared" si="4"/>
        <v>26.5</v>
      </c>
      <c r="B55" s="2">
        <v>2775.9229999999998</v>
      </c>
      <c r="C55" s="2">
        <v>10550.402</v>
      </c>
      <c r="D55" s="2">
        <v>10655.85</v>
      </c>
      <c r="E55" s="2">
        <v>9454.2080000000005</v>
      </c>
      <c r="F55" s="2">
        <f t="shared" si="5"/>
        <v>1359.0957500000004</v>
      </c>
      <c r="G55">
        <f t="shared" si="0"/>
        <v>-9.4099999999998545</v>
      </c>
      <c r="H55" s="2">
        <v>9132.5360000000001</v>
      </c>
      <c r="I55" s="2">
        <v>10762.646000000001</v>
      </c>
      <c r="J55" s="2">
        <v>9142.982</v>
      </c>
      <c r="K55" s="2">
        <v>10803.227000000001</v>
      </c>
      <c r="L55" s="2">
        <f t="shared" si="6"/>
        <v>2960.3477500000008</v>
      </c>
      <c r="M55">
        <f t="shared" si="1"/>
        <v>-20.098500000000058</v>
      </c>
      <c r="N55" s="2">
        <v>10874.215</v>
      </c>
      <c r="O55" s="2">
        <v>2062.6080000000002</v>
      </c>
      <c r="P55" s="2">
        <v>9065.5259999999998</v>
      </c>
      <c r="Q55" s="3">
        <v>9098.8870000000006</v>
      </c>
      <c r="R55" s="2">
        <f t="shared" si="7"/>
        <v>775.30900000000111</v>
      </c>
      <c r="S55">
        <f t="shared" si="2"/>
        <v>-19.143000000003667</v>
      </c>
      <c r="T55" s="2">
        <v>10398.852999999999</v>
      </c>
      <c r="U55" s="2">
        <v>10112.218999999999</v>
      </c>
      <c r="V55" s="2">
        <v>9016.4529999999995</v>
      </c>
      <c r="W55" s="2">
        <v>10557.411</v>
      </c>
      <c r="X55" s="2">
        <f t="shared" si="8"/>
        <v>5164.04925</v>
      </c>
      <c r="Y55" s="3"/>
      <c r="Z55" s="2"/>
      <c r="AA55" s="2"/>
      <c r="AB55" s="2"/>
      <c r="AC55" s="2"/>
      <c r="AD55" s="2">
        <f t="shared" si="3"/>
        <v>-13.716499999998632</v>
      </c>
      <c r="AE55" s="2"/>
      <c r="AF55" s="2"/>
      <c r="AG55" s="2"/>
      <c r="AH55" s="2"/>
      <c r="AI55" s="2"/>
      <c r="AJ55" s="2"/>
      <c r="AK55" s="2"/>
      <c r="AL55" s="2"/>
      <c r="AM55" s="2"/>
      <c r="AN55" s="3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  <c r="BE55" s="2"/>
      <c r="BF55" s="2"/>
      <c r="BG55" s="2"/>
      <c r="BH55" s="2"/>
      <c r="BI55" s="2"/>
      <c r="BJ55" s="2"/>
      <c r="BK55" s="2"/>
      <c r="BL55" s="2"/>
      <c r="BM55" s="2"/>
      <c r="BN55" s="2"/>
      <c r="BO55" s="2"/>
      <c r="BP55" s="2"/>
      <c r="BQ55" s="2"/>
      <c r="BR55" s="2"/>
      <c r="BS55" s="2"/>
      <c r="BT55" s="2"/>
      <c r="BU55" s="2"/>
      <c r="BV55" s="2"/>
      <c r="BW55" s="2"/>
      <c r="BX55" s="2"/>
      <c r="BY55" s="2"/>
      <c r="BZ55" s="2"/>
      <c r="CA55" s="2"/>
      <c r="CB55" s="2"/>
      <c r="CC55" s="2"/>
      <c r="CD55" s="2"/>
      <c r="CE55" s="2"/>
    </row>
    <row r="56" spans="1:83" ht="14" x14ac:dyDescent="0.3">
      <c r="A56" s="2">
        <f t="shared" si="4"/>
        <v>27</v>
      </c>
      <c r="B56" s="2">
        <v>2779.6770000000001</v>
      </c>
      <c r="C56" s="2">
        <v>10567.117</v>
      </c>
      <c r="D56" s="2">
        <v>10637.566000000001</v>
      </c>
      <c r="E56" s="1">
        <v>9469.5830000000005</v>
      </c>
      <c r="F56" s="2">
        <f t="shared" si="5"/>
        <v>1363.4857499999998</v>
      </c>
      <c r="G56">
        <f t="shared" si="0"/>
        <v>7.801500000001397</v>
      </c>
      <c r="H56" s="2">
        <v>9113.4490000000005</v>
      </c>
      <c r="I56" s="2">
        <v>10779.476000000001</v>
      </c>
      <c r="J56" s="2">
        <v>9164.5450000000001</v>
      </c>
      <c r="K56" s="2">
        <v>10824.352999999999</v>
      </c>
      <c r="L56" s="2">
        <f t="shared" si="6"/>
        <v>2970.455750000001</v>
      </c>
      <c r="M56">
        <f t="shared" si="1"/>
        <v>24.951999999997497</v>
      </c>
      <c r="N56" s="2">
        <v>10895.1</v>
      </c>
      <c r="O56" s="2">
        <v>2024.5920000000001</v>
      </c>
      <c r="P56" s="2">
        <v>9083.7810000000009</v>
      </c>
      <c r="Q56" s="2">
        <v>9096.99</v>
      </c>
      <c r="R56" s="2">
        <f t="shared" si="7"/>
        <v>775.11575000000084</v>
      </c>
      <c r="S56">
        <f t="shared" si="2"/>
        <v>34.170500000003813</v>
      </c>
      <c r="T56" s="2">
        <v>10423.467000000001</v>
      </c>
      <c r="U56" s="2">
        <v>10139.254999999999</v>
      </c>
      <c r="V56" s="2">
        <v>8991.6929999999993</v>
      </c>
      <c r="W56" s="2">
        <v>10576.813</v>
      </c>
      <c r="X56" s="2">
        <f t="shared" si="8"/>
        <v>5171.3407499999994</v>
      </c>
      <c r="Y56" s="2"/>
      <c r="Z56" s="2"/>
      <c r="AA56" s="2"/>
      <c r="AB56" s="2"/>
      <c r="AC56" s="2"/>
      <c r="AD56" s="2">
        <f t="shared" si="3"/>
        <v>7.3889999999992142</v>
      </c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  <c r="BE56" s="2"/>
      <c r="BF56" s="2"/>
      <c r="BG56" s="2"/>
      <c r="BH56" s="2"/>
      <c r="BI56" s="2"/>
      <c r="BJ56" s="2"/>
      <c r="BK56" s="2"/>
      <c r="BL56" s="2"/>
      <c r="BM56" s="2"/>
      <c r="BN56" s="2"/>
      <c r="BO56" s="2"/>
      <c r="BP56" s="2"/>
      <c r="BQ56" s="2"/>
      <c r="BR56" s="2"/>
      <c r="BS56" s="2"/>
      <c r="BT56" s="2"/>
      <c r="BU56" s="2"/>
      <c r="BV56" s="2"/>
      <c r="BW56" s="2"/>
      <c r="BX56" s="2"/>
      <c r="BY56" s="2"/>
      <c r="BZ56" s="2"/>
      <c r="CA56" s="2"/>
      <c r="CB56" s="2"/>
      <c r="CC56" s="2"/>
      <c r="CD56" s="2"/>
      <c r="CE56" s="2"/>
    </row>
    <row r="57" spans="1:83" ht="14" x14ac:dyDescent="0.3">
      <c r="A57" s="2">
        <f t="shared" si="4"/>
        <v>27.5</v>
      </c>
      <c r="B57" s="2">
        <v>2778.8029999999999</v>
      </c>
      <c r="C57" s="2">
        <v>10549.674000000001</v>
      </c>
      <c r="D57" s="2">
        <v>10650.458000000001</v>
      </c>
      <c r="E57" s="2">
        <v>9456.1880000000001</v>
      </c>
      <c r="F57" s="2">
        <f t="shared" si="5"/>
        <v>1358.7807499999999</v>
      </c>
      <c r="G57">
        <f t="shared" si="0"/>
        <v>7.4425000000010186</v>
      </c>
      <c r="H57" s="2">
        <v>9135.2999999999993</v>
      </c>
      <c r="I57" s="2">
        <v>10760.513000000001</v>
      </c>
      <c r="J57" s="2">
        <v>9142.1980000000003</v>
      </c>
      <c r="K57" s="2">
        <v>10803.615</v>
      </c>
      <c r="L57" s="2">
        <f t="shared" si="6"/>
        <v>2960.406500000001</v>
      </c>
      <c r="M57">
        <f t="shared" si="1"/>
        <v>-8.5685000000012224</v>
      </c>
      <c r="N57" s="2">
        <v>10871.153</v>
      </c>
      <c r="O57" s="2">
        <v>2027.048</v>
      </c>
      <c r="P57" s="2">
        <v>9067.4879999999994</v>
      </c>
      <c r="Q57" s="2">
        <v>9096.4879999999994</v>
      </c>
      <c r="R57" s="2">
        <f t="shared" si="7"/>
        <v>765.54424999999901</v>
      </c>
      <c r="S57">
        <f t="shared" si="2"/>
        <v>-31.817000000000917</v>
      </c>
      <c r="T57" s="2">
        <v>10404.938</v>
      </c>
      <c r="U57" s="2">
        <v>10118.449000000001</v>
      </c>
      <c r="V57" s="2">
        <v>9008.0470000000005</v>
      </c>
      <c r="W57" s="2">
        <v>10549.575999999999</v>
      </c>
      <c r="X57" s="2">
        <f t="shared" si="8"/>
        <v>5164.4825000000001</v>
      </c>
      <c r="Y57" s="2"/>
      <c r="Z57" s="2"/>
      <c r="AA57" s="2"/>
      <c r="AB57" s="2"/>
      <c r="AC57" s="2"/>
      <c r="AD57" s="2">
        <f t="shared" si="3"/>
        <v>31.080000000001746</v>
      </c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  <c r="BE57" s="2"/>
      <c r="BF57" s="2"/>
      <c r="BG57" s="2"/>
      <c r="BH57" s="2"/>
      <c r="BI57" s="2"/>
      <c r="BJ57" s="2"/>
      <c r="BK57" s="2"/>
      <c r="BL57" s="2"/>
      <c r="BM57" s="2"/>
      <c r="BN57" s="2"/>
      <c r="BO57" s="2"/>
      <c r="BP57" s="2"/>
      <c r="BQ57" s="2"/>
      <c r="BR57" s="2"/>
      <c r="BS57" s="2"/>
      <c r="BT57" s="2"/>
      <c r="BU57" s="2"/>
      <c r="BV57" s="2"/>
      <c r="BW57" s="2"/>
      <c r="BX57" s="2"/>
      <c r="BY57" s="2"/>
      <c r="BZ57" s="2"/>
      <c r="CA57" s="2"/>
      <c r="CB57" s="2"/>
      <c r="CC57" s="2"/>
      <c r="CD57" s="2"/>
      <c r="CE57" s="2"/>
    </row>
    <row r="58" spans="1:83" ht="14" x14ac:dyDescent="0.3">
      <c r="A58" s="2">
        <f t="shared" si="4"/>
        <v>28</v>
      </c>
      <c r="B58" s="2">
        <v>2778.9870000000001</v>
      </c>
      <c r="C58" s="2">
        <v>10564.782999999999</v>
      </c>
      <c r="D58" s="2">
        <v>10642.931</v>
      </c>
      <c r="E58" s="2">
        <v>9464.0249999999996</v>
      </c>
      <c r="F58" s="2">
        <f t="shared" si="5"/>
        <v>1362.6815000000006</v>
      </c>
      <c r="G58">
        <f t="shared" si="0"/>
        <v>30.2129999999961</v>
      </c>
      <c r="H58" s="2">
        <v>9129.777</v>
      </c>
      <c r="I58" s="2">
        <v>10782.038</v>
      </c>
      <c r="J58" s="2">
        <v>9159.3430000000008</v>
      </c>
      <c r="K58" s="2">
        <v>10820.371999999999</v>
      </c>
      <c r="L58" s="2">
        <f t="shared" si="6"/>
        <v>2972.8824999999997</v>
      </c>
      <c r="M58">
        <f t="shared" si="1"/>
        <v>44.011500000000524</v>
      </c>
      <c r="N58" s="2">
        <v>10892.092000000001</v>
      </c>
      <c r="O58" s="2">
        <v>2060.9340000000002</v>
      </c>
      <c r="P58" s="2">
        <v>9081.5859999999993</v>
      </c>
      <c r="Q58" s="2">
        <v>9095.9060000000009</v>
      </c>
      <c r="R58" s="2">
        <f t="shared" si="7"/>
        <v>782.62950000000092</v>
      </c>
      <c r="S58">
        <f t="shared" si="2"/>
        <v>41.850499999998647</v>
      </c>
      <c r="T58" s="2">
        <v>10409.558000000001</v>
      </c>
      <c r="U58" s="2">
        <v>10132.583000000001</v>
      </c>
      <c r="V58" s="2">
        <v>8998.9920000000002</v>
      </c>
      <c r="W58" s="2">
        <v>10567.424000000001</v>
      </c>
      <c r="X58" s="2">
        <f t="shared" si="8"/>
        <v>5168.1769999999997</v>
      </c>
      <c r="Y58" s="2"/>
      <c r="Z58" s="2"/>
      <c r="AA58" s="2"/>
      <c r="AB58" s="2"/>
      <c r="AC58" s="2"/>
      <c r="AD58" s="2">
        <f t="shared" si="3"/>
        <v>47.685499999995955</v>
      </c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3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  <c r="BC58" s="2"/>
      <c r="BD58" s="2"/>
      <c r="BE58" s="2"/>
      <c r="BF58" s="2"/>
      <c r="BG58" s="2"/>
      <c r="BH58" s="2"/>
      <c r="BI58" s="2"/>
      <c r="BJ58" s="2"/>
      <c r="BK58" s="2"/>
      <c r="BL58" s="2"/>
      <c r="BM58" s="2"/>
      <c r="BN58" s="2"/>
      <c r="BO58" s="2"/>
      <c r="BP58" s="2"/>
      <c r="BQ58" s="2"/>
      <c r="BR58" s="2"/>
      <c r="BS58" s="2"/>
      <c r="BT58" s="2"/>
      <c r="BU58" s="2"/>
      <c r="BV58" s="2"/>
      <c r="BW58" s="2"/>
      <c r="BX58" s="2"/>
      <c r="BY58" s="2"/>
      <c r="BZ58" s="2"/>
      <c r="CA58" s="2"/>
      <c r="CB58" s="2"/>
      <c r="CC58" s="2"/>
      <c r="CD58" s="2"/>
      <c r="CE58" s="2"/>
    </row>
    <row r="59" spans="1:83" ht="14" x14ac:dyDescent="0.3">
      <c r="A59" s="2">
        <f t="shared" si="4"/>
        <v>28.5</v>
      </c>
      <c r="B59" s="2">
        <v>2778.0619999999999</v>
      </c>
      <c r="C59" s="2">
        <v>10554.459000000001</v>
      </c>
      <c r="D59" s="2">
        <v>10669.328</v>
      </c>
      <c r="E59" s="2">
        <v>9463.7620000000006</v>
      </c>
      <c r="F59" s="2">
        <f t="shared" si="5"/>
        <v>1366.4027500000011</v>
      </c>
      <c r="G59">
        <f t="shared" si="0"/>
        <v>0.52400000000125146</v>
      </c>
      <c r="H59" s="2">
        <v>9151.2219999999998</v>
      </c>
      <c r="I59" s="2">
        <v>10763.44</v>
      </c>
      <c r="J59" s="2">
        <v>9145.6669999999995</v>
      </c>
      <c r="K59" s="2">
        <v>10814.064</v>
      </c>
      <c r="L59" s="2">
        <f t="shared" si="6"/>
        <v>2968.5982499999991</v>
      </c>
      <c r="M59">
        <f t="shared" si="1"/>
        <v>2.3715000000011059</v>
      </c>
      <c r="N59" s="2">
        <v>10872.629000000001</v>
      </c>
      <c r="O59" s="2">
        <v>2031.915</v>
      </c>
      <c r="P59" s="2">
        <v>9065.7309999999998</v>
      </c>
      <c r="Q59" s="2">
        <v>9096.6090000000004</v>
      </c>
      <c r="R59" s="2">
        <f t="shared" si="7"/>
        <v>766.72100000000046</v>
      </c>
      <c r="S59">
        <f t="shared" si="2"/>
        <v>8.9629999999997381</v>
      </c>
      <c r="T59" s="2">
        <v>10402.456</v>
      </c>
      <c r="U59" s="2">
        <v>10128.065000000001</v>
      </c>
      <c r="V59" s="2">
        <v>9038.1409999999996</v>
      </c>
      <c r="W59" s="2">
        <v>10554.525</v>
      </c>
      <c r="X59" s="2">
        <f t="shared" si="8"/>
        <v>5183.7170000000006</v>
      </c>
      <c r="Y59" s="2"/>
      <c r="Z59" s="2"/>
      <c r="AA59" s="2"/>
      <c r="AB59" s="2"/>
      <c r="AC59" s="2"/>
      <c r="AD59" s="2">
        <f t="shared" si="3"/>
        <v>10.029500000007829</v>
      </c>
      <c r="AE59" s="2"/>
      <c r="AF59" s="2"/>
      <c r="AG59" s="2"/>
      <c r="AH59" s="2"/>
      <c r="AI59" s="2"/>
      <c r="AJ59" s="3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  <c r="BE59" s="2"/>
      <c r="BF59" s="2"/>
      <c r="BG59" s="2"/>
      <c r="BH59" s="2"/>
      <c r="BI59" s="2"/>
      <c r="BJ59" s="2"/>
      <c r="BK59" s="2"/>
      <c r="BL59" s="2"/>
      <c r="BM59" s="2"/>
      <c r="BN59" s="2"/>
      <c r="BO59" s="2"/>
      <c r="BP59" s="2"/>
      <c r="BQ59" s="2"/>
      <c r="BR59" s="2"/>
      <c r="BS59" s="2"/>
      <c r="BT59" s="2"/>
      <c r="BU59" s="2"/>
      <c r="BV59" s="2"/>
      <c r="BW59" s="2"/>
      <c r="BX59" s="2"/>
      <c r="BY59" s="2"/>
      <c r="BZ59" s="2"/>
      <c r="CA59" s="2"/>
      <c r="CB59" s="2"/>
      <c r="CC59" s="2"/>
      <c r="CD59" s="2"/>
      <c r="CE59" s="2"/>
    </row>
    <row r="60" spans="1:83" ht="14" x14ac:dyDescent="0.3">
      <c r="A60" s="2">
        <f t="shared" si="4"/>
        <v>29</v>
      </c>
      <c r="B60" s="2">
        <v>2785.1930000000002</v>
      </c>
      <c r="C60" s="2">
        <v>10583.941999999999</v>
      </c>
      <c r="D60" s="2">
        <v>10670.815000000001</v>
      </c>
      <c r="E60" s="2">
        <v>9486.0869999999995</v>
      </c>
      <c r="F60" s="2">
        <f t="shared" si="5"/>
        <v>1381.5092499999992</v>
      </c>
      <c r="G60">
        <f t="shared" si="0"/>
        <v>-14.75249999999869</v>
      </c>
      <c r="H60" s="2">
        <v>9152.1470000000008</v>
      </c>
      <c r="I60" s="2">
        <v>10796.769</v>
      </c>
      <c r="J60" s="2">
        <v>9174.357</v>
      </c>
      <c r="K60" s="2">
        <v>10839.143</v>
      </c>
      <c r="L60" s="2">
        <f t="shared" si="6"/>
        <v>2990.6039999999994</v>
      </c>
      <c r="M60">
        <f t="shared" si="1"/>
        <v>-14.711499999997613</v>
      </c>
      <c r="N60" s="2">
        <v>10913.163</v>
      </c>
      <c r="O60" s="2">
        <v>2030.8389999999999</v>
      </c>
      <c r="P60" s="2">
        <v>9095.7279999999992</v>
      </c>
      <c r="Q60" s="2">
        <v>9110.8549999999996</v>
      </c>
      <c r="R60" s="2">
        <f t="shared" si="7"/>
        <v>787.64624999999978</v>
      </c>
      <c r="S60">
        <f t="shared" si="2"/>
        <v>-20.505499999999302</v>
      </c>
      <c r="T60" s="2">
        <v>10437.107</v>
      </c>
      <c r="U60" s="2">
        <v>10159.986999999999</v>
      </c>
      <c r="V60" s="2">
        <v>9036.5789999999997</v>
      </c>
      <c r="W60" s="2">
        <v>10588.627</v>
      </c>
      <c r="X60" s="2">
        <f t="shared" si="8"/>
        <v>5207.5597499999985</v>
      </c>
      <c r="Y60" s="2"/>
      <c r="Z60" s="2"/>
      <c r="AA60" s="2"/>
      <c r="AB60" s="2"/>
      <c r="AC60" s="2"/>
      <c r="AD60" s="2">
        <f t="shared" si="3"/>
        <v>-45.989000000001397</v>
      </c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  <c r="BE60" s="2"/>
      <c r="BF60" s="2"/>
      <c r="BG60" s="2"/>
      <c r="BH60" s="2"/>
      <c r="BI60" s="2"/>
      <c r="BJ60" s="2"/>
      <c r="BK60" s="2"/>
      <c r="BL60" s="2"/>
      <c r="BM60" s="2"/>
      <c r="BN60" s="2"/>
      <c r="BO60" s="2"/>
      <c r="BP60" s="2"/>
      <c r="BQ60" s="2"/>
      <c r="BR60" s="2"/>
      <c r="BS60" s="2"/>
      <c r="BT60" s="2"/>
      <c r="BU60" s="2"/>
      <c r="BV60" s="2"/>
      <c r="BW60" s="2"/>
      <c r="BX60" s="2"/>
      <c r="BY60" s="2"/>
      <c r="BZ60" s="2"/>
      <c r="CA60" s="2"/>
      <c r="CB60" s="2"/>
      <c r="CC60" s="2"/>
      <c r="CD60" s="2"/>
      <c r="CE60" s="2"/>
    </row>
    <row r="61" spans="1:83" ht="14" x14ac:dyDescent="0.3">
      <c r="A61" s="2">
        <f t="shared" si="4"/>
        <v>29.5</v>
      </c>
      <c r="B61" s="2">
        <v>2786.0509999999999</v>
      </c>
      <c r="C61" s="2">
        <v>10587.75</v>
      </c>
      <c r="D61" s="2">
        <v>10665.626</v>
      </c>
      <c r="E61" s="2">
        <v>9487.6579999999994</v>
      </c>
      <c r="F61" s="2">
        <f t="shared" si="5"/>
        <v>1381.7712499999998</v>
      </c>
      <c r="G61">
        <f t="shared" si="0"/>
        <v>-12.990000000001601</v>
      </c>
      <c r="H61" s="2">
        <v>9151.0730000000003</v>
      </c>
      <c r="I61" s="2">
        <v>10799.34</v>
      </c>
      <c r="J61" s="2">
        <v>9175.0779999999995</v>
      </c>
      <c r="K61" s="2">
        <v>10841.668</v>
      </c>
      <c r="L61" s="2">
        <f t="shared" si="6"/>
        <v>2991.7897499999999</v>
      </c>
      <c r="M61">
        <f t="shared" si="1"/>
        <v>-9.228000000002794</v>
      </c>
      <c r="N61" s="2">
        <v>10913.804</v>
      </c>
      <c r="O61" s="2">
        <v>2029.6990000000001</v>
      </c>
      <c r="P61" s="2">
        <v>9096.2520000000004</v>
      </c>
      <c r="Q61" s="2">
        <v>9128.7559999999994</v>
      </c>
      <c r="R61" s="2">
        <f t="shared" si="7"/>
        <v>792.12774999999965</v>
      </c>
      <c r="S61">
        <f t="shared" si="2"/>
        <v>8.253500000002532</v>
      </c>
      <c r="T61" s="2">
        <v>10440.058000000001</v>
      </c>
      <c r="U61" s="2">
        <v>10164.795</v>
      </c>
      <c r="V61" s="2">
        <v>9040.3250000000007</v>
      </c>
      <c r="W61" s="2">
        <v>10588.124</v>
      </c>
      <c r="X61" s="2">
        <f t="shared" si="8"/>
        <v>5212.5745000000024</v>
      </c>
      <c r="Y61" s="2"/>
      <c r="Z61" s="2"/>
      <c r="AA61" s="2"/>
      <c r="AB61" s="2"/>
      <c r="AC61" s="2"/>
      <c r="AD61" s="2">
        <f t="shared" si="3"/>
        <v>830.73499999999694</v>
      </c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  <c r="BE61" s="2"/>
      <c r="BF61" s="2"/>
      <c r="BG61" s="2"/>
      <c r="BH61" s="2"/>
      <c r="BI61" s="2"/>
      <c r="BJ61" s="2"/>
      <c r="BK61" s="2"/>
      <c r="BL61" s="2"/>
      <c r="BM61" s="2"/>
      <c r="BN61" s="2"/>
      <c r="BO61" s="2"/>
      <c r="BP61" s="2"/>
      <c r="BQ61" s="3"/>
      <c r="BR61" s="2"/>
      <c r="BS61" s="2"/>
      <c r="BT61" s="2"/>
      <c r="BU61" s="2"/>
      <c r="BV61" s="2"/>
      <c r="BW61" s="2"/>
      <c r="BX61" s="2"/>
      <c r="BY61" s="2"/>
      <c r="BZ61" s="2"/>
      <c r="CA61" s="2"/>
      <c r="CB61" s="2"/>
      <c r="CC61" s="2"/>
      <c r="CD61" s="2"/>
      <c r="CE61" s="2"/>
    </row>
    <row r="62" spans="1:83" ht="14" x14ac:dyDescent="0.3">
      <c r="A62" s="2">
        <f t="shared" si="4"/>
        <v>30</v>
      </c>
      <c r="B62" s="2">
        <v>2782.123</v>
      </c>
      <c r="C62" s="2">
        <v>10579.956</v>
      </c>
      <c r="D62" s="2">
        <v>10647.235000000001</v>
      </c>
      <c r="E62" s="2">
        <v>9488.2659999999996</v>
      </c>
      <c r="F62" s="2">
        <f t="shared" si="5"/>
        <v>1374.3950000000004</v>
      </c>
      <c r="G62">
        <f t="shared" si="0"/>
        <v>2.6124999999992724</v>
      </c>
      <c r="H62" s="2">
        <v>9136.7360000000008</v>
      </c>
      <c r="I62" s="2">
        <v>10787.776</v>
      </c>
      <c r="J62" s="2">
        <v>9172.643</v>
      </c>
      <c r="K62" s="2">
        <v>10840.581</v>
      </c>
      <c r="L62" s="2">
        <f t="shared" si="6"/>
        <v>2984.4340000000011</v>
      </c>
      <c r="M62">
        <f t="shared" si="1"/>
        <v>4.6310000000012224</v>
      </c>
      <c r="N62" s="2">
        <v>10908.526</v>
      </c>
      <c r="O62" s="2">
        <v>2027.818</v>
      </c>
      <c r="P62" s="2">
        <v>9089.7160000000003</v>
      </c>
      <c r="Q62" s="2">
        <v>9101.44</v>
      </c>
      <c r="R62" s="2">
        <f t="shared" si="7"/>
        <v>781.875</v>
      </c>
      <c r="S62">
        <f t="shared" si="2"/>
        <v>-100.04000000000269</v>
      </c>
      <c r="T62" s="2">
        <v>10434.492</v>
      </c>
      <c r="U62" s="2">
        <v>10133.838</v>
      </c>
      <c r="V62" s="2">
        <v>9028.0759999999991</v>
      </c>
      <c r="W62" s="2">
        <v>10585.312</v>
      </c>
      <c r="X62" s="2">
        <f t="shared" si="8"/>
        <v>5189.5800000000017</v>
      </c>
      <c r="Y62" s="2"/>
      <c r="Z62" s="2"/>
      <c r="AA62" s="2"/>
      <c r="AB62" s="2"/>
      <c r="AC62" s="2"/>
      <c r="AD62" s="2">
        <f t="shared" si="3"/>
        <v>28.242999999998574</v>
      </c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  <c r="BE62" s="2"/>
      <c r="BF62" s="2"/>
      <c r="BG62" s="2"/>
      <c r="BH62" s="2"/>
      <c r="BI62" s="2"/>
      <c r="BJ62" s="2"/>
      <c r="BK62" s="2"/>
      <c r="BL62" s="2"/>
      <c r="BM62" s="2"/>
      <c r="BN62" s="2"/>
      <c r="BO62" s="2"/>
      <c r="BP62" s="2"/>
      <c r="BQ62" s="2"/>
      <c r="BR62" s="2"/>
      <c r="BS62" s="2"/>
      <c r="BT62" s="2"/>
      <c r="BU62" s="2"/>
      <c r="BV62" s="2"/>
      <c r="BW62" s="2"/>
      <c r="BX62" s="2"/>
      <c r="BY62" s="2"/>
      <c r="BZ62" s="2"/>
      <c r="CA62" s="2"/>
      <c r="CB62" s="2"/>
      <c r="CC62" s="2"/>
      <c r="CD62" s="2"/>
      <c r="CE62" s="2"/>
    </row>
    <row r="63" spans="1:83" ht="14" x14ac:dyDescent="0.3">
      <c r="A63" s="2">
        <f t="shared" si="4"/>
        <v>30.5</v>
      </c>
      <c r="B63" s="2">
        <v>2780.143</v>
      </c>
      <c r="C63" s="2">
        <v>10560.696</v>
      </c>
      <c r="D63" s="2">
        <v>10655.24</v>
      </c>
      <c r="E63" s="2">
        <v>9475.5210000000006</v>
      </c>
      <c r="F63" s="2">
        <f t="shared" si="5"/>
        <v>1367.8999999999996</v>
      </c>
      <c r="G63">
        <f t="shared" si="0"/>
        <v>-34.080500000000029</v>
      </c>
      <c r="H63" s="2">
        <v>9146.5660000000007</v>
      </c>
      <c r="I63" s="2">
        <v>10780.36</v>
      </c>
      <c r="J63" s="2">
        <v>9165.1560000000009</v>
      </c>
      <c r="K63" s="2">
        <v>10827.198</v>
      </c>
      <c r="L63" s="2">
        <f>((H63+I63+J63+K63)/4)-7000</f>
        <v>2979.8199999999997</v>
      </c>
      <c r="M63">
        <f t="shared" si="1"/>
        <v>-59.548999999999069</v>
      </c>
      <c r="N63" s="2">
        <v>10887.299000000001</v>
      </c>
      <c r="O63" s="2">
        <v>2067.12</v>
      </c>
      <c r="P63" s="2">
        <v>9079.9950000000008</v>
      </c>
      <c r="Q63" s="2">
        <v>9109.5930000000008</v>
      </c>
      <c r="R63" s="2">
        <f t="shared" si="7"/>
        <v>786.00175000000127</v>
      </c>
      <c r="S63">
        <f t="shared" si="2"/>
        <v>47.923999999999069</v>
      </c>
      <c r="T63" s="2">
        <v>10420.57</v>
      </c>
      <c r="U63" s="2">
        <v>10956.424000000001</v>
      </c>
      <c r="V63" s="2">
        <v>9043.1859999999997</v>
      </c>
      <c r="W63" s="2">
        <v>10567.17</v>
      </c>
      <c r="X63" s="2">
        <f t="shared" si="8"/>
        <v>5604.9475000000002</v>
      </c>
      <c r="Y63" s="2"/>
      <c r="Z63" s="2"/>
      <c r="AA63" s="2"/>
      <c r="AB63" s="2"/>
      <c r="AC63" s="2"/>
      <c r="AD63" s="2">
        <f t="shared" si="3"/>
        <v>-70.985000000000582</v>
      </c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3"/>
      <c r="AU63" s="2"/>
      <c r="AV63" s="2"/>
      <c r="AW63" s="2"/>
      <c r="AX63" s="2"/>
      <c r="AY63" s="2"/>
      <c r="AZ63" s="2"/>
      <c r="BA63" s="2"/>
      <c r="BB63" s="2"/>
      <c r="BC63" s="2"/>
      <c r="BD63" s="2"/>
      <c r="BE63" s="2"/>
      <c r="BF63" s="2"/>
      <c r="BG63" s="2"/>
      <c r="BH63" s="2"/>
      <c r="BI63" s="2"/>
      <c r="BJ63" s="2"/>
      <c r="BK63" s="2"/>
      <c r="BL63" s="2"/>
      <c r="BM63" s="2"/>
      <c r="BN63" s="2"/>
      <c r="BO63" s="2"/>
      <c r="BP63" s="2"/>
      <c r="BQ63" s="2"/>
      <c r="BR63" s="2"/>
      <c r="BS63" s="2"/>
      <c r="BT63" s="2"/>
      <c r="BU63" s="2"/>
      <c r="BV63" s="2"/>
      <c r="BW63" s="2"/>
      <c r="BX63" s="2"/>
      <c r="BY63" s="2"/>
      <c r="BZ63" s="2"/>
      <c r="CA63" s="2"/>
      <c r="CB63" s="2"/>
      <c r="CC63" s="2"/>
      <c r="CD63" s="2"/>
      <c r="CE63" s="2"/>
    </row>
    <row r="64" spans="1:83" ht="14" x14ac:dyDescent="0.3">
      <c r="A64" s="2">
        <f t="shared" si="4"/>
        <v>31</v>
      </c>
      <c r="B64" s="2">
        <v>2781.4119999999998</v>
      </c>
      <c r="C64" s="2">
        <v>10573.228999999999</v>
      </c>
      <c r="D64" s="2">
        <v>10644.239</v>
      </c>
      <c r="E64" s="2">
        <v>9477.9449999999997</v>
      </c>
      <c r="F64" s="2">
        <f t="shared" si="5"/>
        <v>1369.2062499999993</v>
      </c>
      <c r="G64">
        <f t="shared" si="0"/>
        <v>-11.747499999997672</v>
      </c>
      <c r="H64" s="2">
        <v>9131.9380000000001</v>
      </c>
      <c r="I64" s="2">
        <v>10786.483</v>
      </c>
      <c r="J64" s="2">
        <v>9171.8340000000007</v>
      </c>
      <c r="K64" s="2">
        <v>10838.287</v>
      </c>
      <c r="L64" s="2">
        <f t="shared" si="6"/>
        <v>2982.1355000000003</v>
      </c>
      <c r="M64">
        <f t="shared" si="1"/>
        <v>-26.220500000003085</v>
      </c>
      <c r="N64" s="2">
        <v>10905.112999999999</v>
      </c>
      <c r="O64" s="2">
        <v>1830.241</v>
      </c>
      <c r="P64" s="2">
        <v>9091.3950000000004</v>
      </c>
      <c r="Q64" s="2">
        <v>9117.1779999999999</v>
      </c>
      <c r="R64" s="2">
        <f t="shared" si="7"/>
        <v>735.98174999999992</v>
      </c>
      <c r="S64">
        <f t="shared" si="2"/>
        <v>-46.829999999998108</v>
      </c>
      <c r="T64" s="2">
        <v>10434.111999999999</v>
      </c>
      <c r="U64" s="2">
        <v>11003.365</v>
      </c>
      <c r="V64" s="2">
        <v>9017.7170000000006</v>
      </c>
      <c r="W64" s="2">
        <v>10588.198</v>
      </c>
      <c r="X64" s="2">
        <f t="shared" si="8"/>
        <v>5619.0689999999995</v>
      </c>
      <c r="Y64" s="2"/>
      <c r="Z64" s="2"/>
      <c r="AA64" s="2"/>
      <c r="AB64" s="2"/>
      <c r="AC64" s="2"/>
      <c r="AD64" s="2">
        <f t="shared" si="3"/>
        <v>-22.916999999997643</v>
      </c>
      <c r="AE64" s="2"/>
      <c r="AF64" s="2"/>
      <c r="AG64" s="2"/>
      <c r="AH64" s="2"/>
      <c r="AI64" s="2"/>
      <c r="AJ64" s="2"/>
      <c r="AK64" s="2"/>
      <c r="AL64" s="2"/>
      <c r="AM64" s="2"/>
      <c r="AN64" s="3"/>
      <c r="AO64" s="2"/>
      <c r="AP64" s="2"/>
      <c r="AQ64" s="2"/>
      <c r="AR64" s="2"/>
      <c r="AS64" s="2"/>
      <c r="AT64" s="3"/>
      <c r="AU64" s="3"/>
      <c r="AV64" s="2"/>
      <c r="AW64" s="2"/>
      <c r="AX64" s="2"/>
      <c r="AY64" s="2"/>
      <c r="AZ64" s="2"/>
      <c r="BA64" s="2"/>
      <c r="BB64" s="2"/>
      <c r="BC64" s="2"/>
      <c r="BD64" s="2"/>
      <c r="BE64" s="2"/>
      <c r="BF64" s="2"/>
      <c r="BG64" s="2"/>
      <c r="BH64" s="2"/>
      <c r="BI64" s="2"/>
      <c r="BJ64" s="2"/>
      <c r="BK64" s="2"/>
      <c r="BL64" s="2"/>
      <c r="BM64" s="2"/>
      <c r="BN64" s="2"/>
      <c r="BO64" s="2"/>
      <c r="BP64" s="2"/>
      <c r="BQ64" s="2"/>
      <c r="BR64" s="2"/>
      <c r="BS64" s="2"/>
      <c r="BT64" s="2"/>
      <c r="BU64" s="2"/>
      <c r="BV64" s="2"/>
      <c r="BW64" s="2"/>
      <c r="BX64" s="2"/>
      <c r="BY64" s="2"/>
      <c r="BZ64" s="2"/>
      <c r="CA64" s="2"/>
      <c r="CB64" s="2"/>
      <c r="CC64" s="2"/>
      <c r="CD64" s="2"/>
      <c r="CE64" s="2"/>
    </row>
    <row r="65" spans="1:83" ht="14" x14ac:dyDescent="0.3">
      <c r="A65" s="2">
        <f t="shared" si="4"/>
        <v>31.5</v>
      </c>
      <c r="B65" s="2">
        <v>2776.9549999999999</v>
      </c>
      <c r="C65" s="2">
        <v>10554.457</v>
      </c>
      <c r="D65" s="2">
        <v>10608.656999999999</v>
      </c>
      <c r="E65" s="2">
        <v>9468.5949999999993</v>
      </c>
      <c r="F65" s="2">
        <f t="shared" si="5"/>
        <v>1352.1659999999993</v>
      </c>
      <c r="G65">
        <f t="shared" si="0"/>
        <v>17.205500000000029</v>
      </c>
      <c r="H65" s="2">
        <v>9097.2669999999998</v>
      </c>
      <c r="I65" s="2">
        <v>10755.397999999999</v>
      </c>
      <c r="J65" s="2">
        <v>9144.357</v>
      </c>
      <c r="K65" s="2">
        <v>10812.422</v>
      </c>
      <c r="L65" s="2">
        <f t="shared" si="6"/>
        <v>2952.3610000000008</v>
      </c>
      <c r="M65">
        <f t="shared" si="1"/>
        <v>-77.335999999995693</v>
      </c>
      <c r="N65" s="2">
        <v>10863.06</v>
      </c>
      <c r="O65" s="2">
        <v>2017.7639999999999</v>
      </c>
      <c r="P65" s="2">
        <v>9065.9179999999997</v>
      </c>
      <c r="Q65" s="2">
        <v>9093.0329999999994</v>
      </c>
      <c r="R65" s="2">
        <f t="shared" si="7"/>
        <v>759.94374999999945</v>
      </c>
      <c r="S65">
        <f t="shared" si="2"/>
        <v>81.966999999998734</v>
      </c>
      <c r="T65" s="2">
        <v>10407.992</v>
      </c>
      <c r="U65" s="2">
        <v>10980.755999999999</v>
      </c>
      <c r="V65" s="2">
        <v>8982.4009999999998</v>
      </c>
      <c r="W65" s="2">
        <v>10562.004999999999</v>
      </c>
      <c r="X65" s="2">
        <f t="shared" si="8"/>
        <v>5583.5764999999992</v>
      </c>
      <c r="Y65" s="2"/>
      <c r="Z65" s="2"/>
      <c r="AA65" s="2"/>
      <c r="AB65" s="2"/>
      <c r="AC65" s="2"/>
      <c r="AD65" s="2">
        <f t="shared" si="3"/>
        <v>5.7409999999981665</v>
      </c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3"/>
      <c r="AQ65" s="2"/>
      <c r="AR65" s="2"/>
      <c r="AS65" s="2"/>
      <c r="AT65" s="2"/>
      <c r="AU65" s="3"/>
      <c r="AV65" s="2"/>
      <c r="AW65" s="2"/>
      <c r="AX65" s="2"/>
      <c r="AY65" s="2"/>
      <c r="AZ65" s="2"/>
      <c r="BA65" s="2"/>
      <c r="BB65" s="2"/>
      <c r="BC65" s="2"/>
      <c r="BD65" s="2"/>
      <c r="BE65" s="2"/>
      <c r="BF65" s="2"/>
      <c r="BG65" s="2"/>
      <c r="BH65" s="2"/>
      <c r="BI65" s="2"/>
      <c r="BJ65" s="2"/>
      <c r="BK65" s="2"/>
      <c r="BL65" s="2"/>
      <c r="BM65" s="2"/>
      <c r="BN65" s="2"/>
      <c r="BO65" s="2"/>
      <c r="BP65" s="2"/>
      <c r="BQ65" s="2"/>
      <c r="BR65" s="2"/>
      <c r="BS65" s="2"/>
      <c r="BT65" s="2"/>
      <c r="BU65" s="2"/>
      <c r="BV65" s="2"/>
      <c r="BW65" s="2"/>
      <c r="BX65" s="2"/>
      <c r="BY65" s="2"/>
      <c r="BZ65" s="2"/>
      <c r="CA65" s="2"/>
      <c r="CB65" s="2"/>
      <c r="CC65" s="2"/>
      <c r="CD65" s="2"/>
      <c r="CE65" s="2"/>
    </row>
    <row r="66" spans="1:83" ht="14" x14ac:dyDescent="0.3">
      <c r="A66" s="2">
        <f t="shared" si="4"/>
        <v>32</v>
      </c>
      <c r="B66" s="2">
        <v>2772.0140000000001</v>
      </c>
      <c r="C66" s="2">
        <v>10516.709000000001</v>
      </c>
      <c r="D66" s="2">
        <v>10652.936</v>
      </c>
      <c r="E66" s="2">
        <v>9443.51</v>
      </c>
      <c r="F66" s="2">
        <f t="shared" si="5"/>
        <v>1346.2922500000004</v>
      </c>
      <c r="G66">
        <f t="shared" si="0"/>
        <v>-68.225000000002183</v>
      </c>
      <c r="H66" s="2">
        <v>9140.9879999999994</v>
      </c>
      <c r="I66" s="2">
        <v>10725.263000000001</v>
      </c>
      <c r="J66" s="2">
        <v>9118.1759999999995</v>
      </c>
      <c r="K66" s="2">
        <v>10772.575999999999</v>
      </c>
      <c r="L66" s="2">
        <f t="shared" si="6"/>
        <v>2939.2507499999992</v>
      </c>
      <c r="M66">
        <f t="shared" si="1"/>
        <v>39.747499999997672</v>
      </c>
      <c r="N66" s="2">
        <v>10838.793</v>
      </c>
      <c r="O66" s="2">
        <v>2027.4839999999999</v>
      </c>
      <c r="P66" s="2">
        <v>9033.64</v>
      </c>
      <c r="Q66" s="2">
        <v>9046.1980000000003</v>
      </c>
      <c r="R66" s="2">
        <f t="shared" si="7"/>
        <v>736.5287500000004</v>
      </c>
      <c r="S66">
        <f t="shared" si="2"/>
        <v>-93.253499999998894</v>
      </c>
      <c r="T66" s="2">
        <v>10367.846</v>
      </c>
      <c r="U66" s="2">
        <v>10934.11</v>
      </c>
      <c r="V66" s="2">
        <v>9026.2029999999995</v>
      </c>
      <c r="W66" s="2">
        <v>10513.272000000001</v>
      </c>
      <c r="X66" s="2">
        <f t="shared" si="8"/>
        <v>5572.1180000000004</v>
      </c>
      <c r="Y66" s="2"/>
      <c r="Z66" s="2"/>
      <c r="AA66" s="2"/>
      <c r="AB66" s="2"/>
      <c r="AC66" s="2"/>
      <c r="AD66" s="2">
        <f t="shared" si="3"/>
        <v>-67.782999999999447</v>
      </c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  <c r="BE66" s="2"/>
      <c r="BF66" s="2"/>
      <c r="BG66" s="2"/>
      <c r="BH66" s="2"/>
      <c r="BI66" s="2"/>
      <c r="BJ66" s="2"/>
      <c r="BK66" s="2"/>
      <c r="BL66" s="2"/>
      <c r="BM66" s="2"/>
      <c r="BN66" s="2"/>
      <c r="BO66" s="2"/>
      <c r="BP66" s="2"/>
      <c r="BQ66" s="2"/>
      <c r="BR66" s="2"/>
      <c r="BS66" s="2"/>
      <c r="BT66" s="2"/>
      <c r="BU66" s="2"/>
      <c r="BV66" s="2"/>
      <c r="BW66" s="2"/>
      <c r="BX66" s="2"/>
      <c r="BY66" s="2"/>
      <c r="BZ66" s="2"/>
      <c r="CA66" s="2"/>
      <c r="CB66" s="2"/>
      <c r="CC66" s="2"/>
      <c r="CD66" s="2"/>
      <c r="CE66" s="2"/>
    </row>
    <row r="67" spans="1:83" ht="14" x14ac:dyDescent="0.3">
      <c r="A67" s="2">
        <f t="shared" si="4"/>
        <v>32.5</v>
      </c>
      <c r="B67" s="2">
        <v>2778.3310000000001</v>
      </c>
      <c r="C67" s="2">
        <v>10564.588</v>
      </c>
      <c r="D67" s="2">
        <v>10593.892</v>
      </c>
      <c r="E67" s="2">
        <v>9482.7690000000002</v>
      </c>
      <c r="F67" s="2">
        <f t="shared" si="5"/>
        <v>1354.8950000000004</v>
      </c>
      <c r="G67">
        <f t="shared" ref="G67:G92" si="9">(F69-F68)/(A69-A68)</f>
        <v>-15.194499999997788</v>
      </c>
      <c r="H67" s="2">
        <v>9095.2690000000002</v>
      </c>
      <c r="I67" s="2">
        <v>10520.477999999999</v>
      </c>
      <c r="J67" s="2">
        <v>9164.098</v>
      </c>
      <c r="K67" s="2">
        <v>10822.486000000001</v>
      </c>
      <c r="L67" s="2">
        <f t="shared" si="6"/>
        <v>2900.5827500000014</v>
      </c>
      <c r="M67">
        <f t="shared" ref="M67:M92" si="10">(L69-L68)/(A69-A68)</f>
        <v>-40.709500000000844</v>
      </c>
      <c r="N67" s="2">
        <v>10893.366</v>
      </c>
      <c r="O67" s="2">
        <v>2020.297</v>
      </c>
      <c r="P67" s="2">
        <v>9082.8369999999995</v>
      </c>
      <c r="Q67" s="2">
        <v>9113.5490000000009</v>
      </c>
      <c r="R67" s="2">
        <f t="shared" si="7"/>
        <v>777.51224999999977</v>
      </c>
      <c r="S67">
        <f t="shared" ref="S67:S92" si="11">(R69-R68)/(A69-A68)</f>
        <v>-16.214500000000044</v>
      </c>
      <c r="T67" s="2">
        <v>10423.487999999999</v>
      </c>
      <c r="U67" s="2">
        <v>10960.569</v>
      </c>
      <c r="V67" s="2">
        <v>8977.6640000000007</v>
      </c>
      <c r="W67" s="2">
        <v>10571.347</v>
      </c>
      <c r="X67" s="2">
        <f t="shared" si="8"/>
        <v>5574.9884999999995</v>
      </c>
      <c r="Y67" s="2"/>
      <c r="Z67" s="2"/>
      <c r="AA67" s="2"/>
      <c r="AB67" s="2"/>
      <c r="AC67" s="2"/>
      <c r="AD67" s="2">
        <f t="shared" ref="AD67:AD92" si="12">(X69-X68)/(A69-A68)</f>
        <v>-25.764500000001135</v>
      </c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  <c r="BE67" s="2"/>
      <c r="BF67" s="2"/>
      <c r="BG67" s="2"/>
      <c r="BH67" s="2"/>
      <c r="BI67" s="2"/>
      <c r="BJ67" s="2"/>
      <c r="BK67" s="2"/>
      <c r="BL67" s="2"/>
      <c r="BM67" s="2"/>
      <c r="BN67" s="2"/>
      <c r="BO67" s="2"/>
      <c r="BP67" s="2"/>
      <c r="BQ67" s="3"/>
      <c r="BR67" s="2"/>
      <c r="BS67" s="2"/>
      <c r="BT67" s="2"/>
      <c r="BU67" s="2"/>
      <c r="BV67" s="2"/>
      <c r="BW67" s="2"/>
      <c r="BX67" s="2"/>
      <c r="BY67" s="2"/>
      <c r="BZ67" s="2"/>
      <c r="CA67" s="2"/>
      <c r="CB67" s="2"/>
      <c r="CC67" s="2"/>
      <c r="CD67" s="2"/>
      <c r="CE67" s="2"/>
    </row>
    <row r="68" spans="1:83" ht="14" x14ac:dyDescent="0.3">
      <c r="A68" s="2">
        <f t="shared" si="4"/>
        <v>33</v>
      </c>
      <c r="B68" s="2">
        <v>2766.5839999999998</v>
      </c>
      <c r="C68" s="2">
        <v>10502.210999999999</v>
      </c>
      <c r="D68" s="2">
        <v>10576.133</v>
      </c>
      <c r="E68" s="2">
        <v>9438.2019999999993</v>
      </c>
      <c r="F68" s="2">
        <f t="shared" ref="F68:F92" si="13">((B68+C68+D68+E68)/4)-7000</f>
        <v>1320.7824999999993</v>
      </c>
      <c r="G68">
        <f t="shared" si="9"/>
        <v>-29.636500000000524</v>
      </c>
      <c r="H68" s="2">
        <v>9074.1409999999996</v>
      </c>
      <c r="I68" s="3">
        <v>10716.661</v>
      </c>
      <c r="J68" s="2">
        <v>9115.5499999999993</v>
      </c>
      <c r="K68" s="2">
        <v>10775.474</v>
      </c>
      <c r="L68" s="2">
        <f t="shared" ref="L68:L92" si="14">((H68+I68+J68+K68)/4)-7000</f>
        <v>2920.4565000000002</v>
      </c>
      <c r="M68">
        <f t="shared" si="10"/>
        <v>-7.5564999999987776</v>
      </c>
      <c r="N68" s="2">
        <v>10832.665999999999</v>
      </c>
      <c r="O68" s="2">
        <v>2012.2619999999999</v>
      </c>
      <c r="P68" s="2">
        <v>9034.1749999999993</v>
      </c>
      <c r="Q68" s="2">
        <v>9044.4390000000003</v>
      </c>
      <c r="R68" s="2">
        <f t="shared" ref="R68:R92" si="15">((N68+O68+P68+Q68)/4)-7000</f>
        <v>730.88550000000032</v>
      </c>
      <c r="S68">
        <f t="shared" si="11"/>
        <v>-5.7220000000033906</v>
      </c>
      <c r="T68" s="2">
        <v>10362.121999999999</v>
      </c>
      <c r="U68" s="2">
        <v>10929.79</v>
      </c>
      <c r="V68" s="2">
        <v>8971.3430000000008</v>
      </c>
      <c r="W68" s="2">
        <v>10514.824000000001</v>
      </c>
      <c r="X68" s="2">
        <f t="shared" ref="X68:X92" si="16">((T68+U68+V68+U68+V68)/4)-7000</f>
        <v>5541.0969999999998</v>
      </c>
      <c r="Y68" s="2"/>
      <c r="Z68" s="2"/>
      <c r="AA68" s="2"/>
      <c r="AB68" s="2"/>
      <c r="AC68" s="2"/>
      <c r="AD68" s="2">
        <f t="shared" si="12"/>
        <v>-11.018000000000029</v>
      </c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  <c r="BE68" s="3"/>
      <c r="BF68" s="2"/>
      <c r="BG68" s="2"/>
      <c r="BH68" s="2"/>
      <c r="BI68" s="2"/>
      <c r="BJ68" s="2"/>
      <c r="BK68" s="2"/>
      <c r="BL68" s="2"/>
      <c r="BM68" s="2"/>
      <c r="BN68" s="2"/>
      <c r="BO68" s="2"/>
      <c r="BP68" s="3"/>
      <c r="BQ68" s="2"/>
      <c r="BR68" s="2"/>
      <c r="BS68" s="2"/>
      <c r="BT68" s="2"/>
      <c r="BU68" s="2"/>
      <c r="BV68" s="2"/>
      <c r="BW68" s="2"/>
      <c r="BX68" s="2"/>
      <c r="BY68" s="2"/>
      <c r="BZ68" s="2"/>
      <c r="CA68" s="2"/>
      <c r="CB68" s="2"/>
      <c r="CC68" s="2"/>
      <c r="CD68" s="2"/>
      <c r="CE68" s="2"/>
    </row>
    <row r="69" spans="1:83" ht="14" x14ac:dyDescent="0.3">
      <c r="A69" s="2">
        <f t="shared" si="4"/>
        <v>33.5</v>
      </c>
      <c r="B69" s="2">
        <v>2759.6060000000002</v>
      </c>
      <c r="C69" s="2">
        <v>10493.203</v>
      </c>
      <c r="D69" s="2">
        <v>10578.299000000001</v>
      </c>
      <c r="E69" s="2">
        <v>9421.6329999999998</v>
      </c>
      <c r="F69" s="2">
        <f t="shared" si="13"/>
        <v>1313.1852500000005</v>
      </c>
      <c r="G69">
        <f t="shared" si="9"/>
        <v>-19.878000000000611</v>
      </c>
      <c r="H69" s="2">
        <v>9069.3179999999993</v>
      </c>
      <c r="I69" s="2">
        <v>10695.268</v>
      </c>
      <c r="J69" s="2">
        <v>9100.723</v>
      </c>
      <c r="K69" s="2">
        <v>10735.098</v>
      </c>
      <c r="L69" s="2">
        <f t="shared" si="14"/>
        <v>2900.1017499999998</v>
      </c>
      <c r="M69">
        <f t="shared" si="10"/>
        <v>-49.27299999999741</v>
      </c>
      <c r="N69" s="2">
        <v>10811.245999999999</v>
      </c>
      <c r="O69" s="2">
        <v>2012.547</v>
      </c>
      <c r="P69" s="2">
        <v>9018.7620000000006</v>
      </c>
      <c r="Q69" s="2">
        <v>9048.5580000000009</v>
      </c>
      <c r="R69" s="2">
        <f t="shared" si="15"/>
        <v>722.7782500000003</v>
      </c>
      <c r="S69">
        <f t="shared" si="11"/>
        <v>-47.230999999996129</v>
      </c>
      <c r="T69" s="2">
        <v>10355.326999999999</v>
      </c>
      <c r="U69" s="2">
        <v>10915.019</v>
      </c>
      <c r="V69" s="2">
        <v>8963.7469999999994</v>
      </c>
      <c r="W69" s="2">
        <v>10489.906000000001</v>
      </c>
      <c r="X69" s="2">
        <f t="shared" si="16"/>
        <v>5528.2147499999992</v>
      </c>
      <c r="Y69" s="2"/>
      <c r="Z69" s="2"/>
      <c r="AA69" s="2"/>
      <c r="AB69" s="2"/>
      <c r="AC69" s="2"/>
      <c r="AD69" s="2">
        <f t="shared" si="12"/>
        <v>-34.789000000000669</v>
      </c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  <c r="BE69" s="2"/>
      <c r="BF69" s="2"/>
      <c r="BG69" s="2"/>
      <c r="BH69" s="2"/>
      <c r="BI69" s="2"/>
      <c r="BJ69" s="2"/>
      <c r="BK69" s="2"/>
      <c r="BL69" s="2"/>
      <c r="BM69" s="2"/>
      <c r="BN69" s="2"/>
      <c r="BO69" s="2"/>
      <c r="BP69" s="2"/>
      <c r="BQ69" s="2"/>
      <c r="BR69" s="2"/>
      <c r="BS69" s="2"/>
      <c r="BT69" s="2"/>
      <c r="BU69" s="2"/>
      <c r="BV69" s="2"/>
      <c r="BW69" s="2"/>
      <c r="BX69" s="2"/>
      <c r="BY69" s="2"/>
      <c r="BZ69" s="2"/>
      <c r="CA69" s="2"/>
      <c r="CB69" s="2"/>
      <c r="CC69" s="2"/>
      <c r="CD69" s="2"/>
      <c r="CE69" s="2"/>
    </row>
    <row r="70" spans="1:83" ht="14" x14ac:dyDescent="0.3">
      <c r="A70" s="2">
        <f t="shared" si="4"/>
        <v>34</v>
      </c>
      <c r="B70" s="2">
        <v>2758.8519999999999</v>
      </c>
      <c r="C70" s="2">
        <v>10482.134</v>
      </c>
      <c r="D70" s="2">
        <v>10538.919</v>
      </c>
      <c r="E70" s="2">
        <v>9413.5630000000001</v>
      </c>
      <c r="F70" s="2">
        <f t="shared" si="13"/>
        <v>1298.3670000000002</v>
      </c>
      <c r="G70">
        <f t="shared" si="9"/>
        <v>9.8830000000016298</v>
      </c>
      <c r="H70" s="2">
        <v>9044.5159999999996</v>
      </c>
      <c r="I70" s="2">
        <v>10695.290999999999</v>
      </c>
      <c r="J70" s="2">
        <v>9099.5879999999997</v>
      </c>
      <c r="K70" s="2">
        <v>10745.898999999999</v>
      </c>
      <c r="L70" s="2">
        <f t="shared" si="14"/>
        <v>2896.3235000000004</v>
      </c>
      <c r="M70">
        <f t="shared" si="10"/>
        <v>21.993499999996857</v>
      </c>
      <c r="N70" s="2">
        <v>10808.791999999999</v>
      </c>
      <c r="O70" s="2">
        <v>2041.6079999999999</v>
      </c>
      <c r="P70" s="2">
        <v>9007.7279999999992</v>
      </c>
      <c r="Q70" s="2">
        <v>9021.5409999999993</v>
      </c>
      <c r="R70" s="2">
        <f t="shared" si="15"/>
        <v>719.9172499999986</v>
      </c>
      <c r="S70">
        <f t="shared" si="11"/>
        <v>9.613999999999578</v>
      </c>
      <c r="T70" s="2">
        <v>10347.101000000001</v>
      </c>
      <c r="U70" s="2">
        <v>10917.882</v>
      </c>
      <c r="V70" s="2">
        <v>8953.9789999999994</v>
      </c>
      <c r="W70" s="2">
        <v>10500.222</v>
      </c>
      <c r="X70" s="2">
        <f t="shared" si="16"/>
        <v>5522.7057499999992</v>
      </c>
      <c r="Y70" s="2"/>
      <c r="Z70" s="2"/>
      <c r="AA70" s="2"/>
      <c r="AB70" s="2"/>
      <c r="AC70" s="2"/>
      <c r="AD70" s="2">
        <f t="shared" si="12"/>
        <v>28.807000000000698</v>
      </c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3"/>
      <c r="AU70" s="2"/>
      <c r="AV70" s="2"/>
      <c r="AW70" s="2"/>
      <c r="AX70" s="2"/>
      <c r="AY70" s="2"/>
      <c r="AZ70" s="2"/>
      <c r="BA70" s="2"/>
      <c r="BB70" s="2"/>
      <c r="BC70" s="2"/>
      <c r="BD70" s="2"/>
      <c r="BE70" s="2"/>
      <c r="BF70" s="2"/>
      <c r="BG70" s="2"/>
      <c r="BH70" s="2"/>
      <c r="BI70" s="2"/>
      <c r="BJ70" s="2"/>
      <c r="BK70" s="2"/>
      <c r="BL70" s="2"/>
      <c r="BM70" s="2"/>
      <c r="BN70" s="2"/>
      <c r="BO70" s="2"/>
      <c r="BP70" s="2"/>
      <c r="BQ70" s="2"/>
      <c r="BR70" s="2"/>
      <c r="BS70" s="2"/>
      <c r="BT70" s="2"/>
      <c r="BU70" s="2"/>
      <c r="BV70" s="2"/>
      <c r="BW70" s="2"/>
      <c r="BX70" s="2"/>
      <c r="BY70" s="2"/>
      <c r="BZ70" s="2"/>
      <c r="CA70" s="2"/>
      <c r="CB70" s="2"/>
      <c r="CC70" s="2"/>
      <c r="CD70" s="2"/>
      <c r="CE70" s="2"/>
    </row>
    <row r="71" spans="1:83" ht="14" x14ac:dyDescent="0.3">
      <c r="A71" s="2">
        <f t="shared" si="4"/>
        <v>34.5</v>
      </c>
      <c r="B71" s="2">
        <v>2750.8339999999998</v>
      </c>
      <c r="C71" s="2">
        <v>10457.069</v>
      </c>
      <c r="D71" s="2">
        <v>10558.991</v>
      </c>
      <c r="E71" s="2">
        <v>9386.8179999999993</v>
      </c>
      <c r="F71" s="2">
        <f t="shared" si="13"/>
        <v>1288.4279999999999</v>
      </c>
      <c r="G71">
        <f t="shared" si="9"/>
        <v>-0.21199999999953434</v>
      </c>
      <c r="H71" s="2">
        <v>9056.0529999999999</v>
      </c>
      <c r="I71" s="2">
        <v>10655.906000000001</v>
      </c>
      <c r="J71" s="2">
        <v>9069.01</v>
      </c>
      <c r="K71" s="2">
        <v>10705.779</v>
      </c>
      <c r="L71" s="2">
        <f t="shared" si="14"/>
        <v>2871.6870000000017</v>
      </c>
      <c r="M71">
        <f t="shared" si="10"/>
        <v>1.1484999999993306</v>
      </c>
      <c r="N71" s="2">
        <v>10781.362999999999</v>
      </c>
      <c r="O71" s="2">
        <v>2009.681</v>
      </c>
      <c r="P71" s="2">
        <v>8981.8829999999998</v>
      </c>
      <c r="Q71" s="2">
        <v>9012.2800000000007</v>
      </c>
      <c r="R71" s="2">
        <f t="shared" si="15"/>
        <v>696.30175000000054</v>
      </c>
      <c r="S71">
        <f t="shared" si="11"/>
        <v>5.154500000000553</v>
      </c>
      <c r="T71" s="2">
        <v>10324.329</v>
      </c>
      <c r="U71" s="2">
        <v>10892.186</v>
      </c>
      <c r="V71" s="2">
        <v>8956.2720000000008</v>
      </c>
      <c r="W71" s="2">
        <v>10464.673000000001</v>
      </c>
      <c r="X71" s="2">
        <f t="shared" si="16"/>
        <v>5505.3112499999988</v>
      </c>
      <c r="Y71" s="2"/>
      <c r="Z71" s="2"/>
      <c r="AA71" s="2"/>
      <c r="AB71" s="2"/>
      <c r="AC71" s="2"/>
      <c r="AD71" s="2">
        <f t="shared" si="12"/>
        <v>20.385999999998603</v>
      </c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  <c r="BE71" s="2"/>
      <c r="BF71" s="2"/>
      <c r="BG71" s="2"/>
      <c r="BH71" s="2"/>
      <c r="BI71" s="2"/>
      <c r="BJ71" s="2"/>
      <c r="BK71" s="2"/>
      <c r="BL71" s="2"/>
      <c r="BM71" s="2"/>
      <c r="BN71" s="2"/>
      <c r="BO71" s="2"/>
      <c r="BP71" s="2"/>
      <c r="BQ71" s="3"/>
      <c r="BR71" s="2"/>
      <c r="BS71" s="2"/>
      <c r="BT71" s="2"/>
      <c r="BU71" s="2"/>
      <c r="BV71" s="2"/>
      <c r="BW71" s="2"/>
      <c r="BX71" s="2"/>
      <c r="BY71" s="2"/>
      <c r="BZ71" s="2"/>
      <c r="CA71" s="2"/>
      <c r="CB71" s="2"/>
      <c r="CC71" s="2"/>
      <c r="CD71" s="2"/>
      <c r="CE71" s="2"/>
    </row>
    <row r="72" spans="1:83" ht="14" x14ac:dyDescent="0.3">
      <c r="A72" s="2">
        <f t="shared" si="4"/>
        <v>35</v>
      </c>
      <c r="B72" s="2">
        <v>2756.4389999999999</v>
      </c>
      <c r="C72" s="2">
        <v>10468.472</v>
      </c>
      <c r="D72" s="2">
        <v>10542.965</v>
      </c>
      <c r="E72" s="2">
        <v>9405.6020000000008</v>
      </c>
      <c r="F72" s="2">
        <f t="shared" si="13"/>
        <v>1293.3695000000007</v>
      </c>
      <c r="G72">
        <f t="shared" si="9"/>
        <v>13.466499999998632</v>
      </c>
      <c r="H72" s="2">
        <v>9049.9689999999991</v>
      </c>
      <c r="I72" s="2">
        <v>10675.701999999999</v>
      </c>
      <c r="J72" s="2">
        <v>9086.7810000000009</v>
      </c>
      <c r="K72" s="2">
        <v>10718.282999999999</v>
      </c>
      <c r="L72" s="2">
        <f t="shared" si="14"/>
        <v>2882.6837500000001</v>
      </c>
      <c r="M72">
        <f t="shared" si="10"/>
        <v>19.372000000003027</v>
      </c>
      <c r="N72" s="2">
        <v>10788.358</v>
      </c>
      <c r="O72" s="2">
        <v>2008.0050000000001</v>
      </c>
      <c r="P72" s="2">
        <v>8998.2710000000006</v>
      </c>
      <c r="Q72" s="2">
        <v>9009.8009999999995</v>
      </c>
      <c r="R72" s="2">
        <f t="shared" si="15"/>
        <v>701.10875000000033</v>
      </c>
      <c r="S72">
        <f t="shared" si="11"/>
        <v>7.7994999999991705</v>
      </c>
      <c r="T72" s="2">
        <v>10337.859</v>
      </c>
      <c r="U72" s="2">
        <v>10895.438</v>
      </c>
      <c r="V72" s="2">
        <v>8975.0619999999999</v>
      </c>
      <c r="W72" s="2">
        <v>10488.574000000001</v>
      </c>
      <c r="X72" s="2">
        <f t="shared" si="16"/>
        <v>5519.7147499999992</v>
      </c>
      <c r="Y72" s="2"/>
      <c r="Z72" s="2"/>
      <c r="AA72" s="2"/>
      <c r="AB72" s="2"/>
      <c r="AC72" s="2"/>
      <c r="AD72" s="2">
        <f t="shared" si="12"/>
        <v>-4.0389999999970314</v>
      </c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  <c r="BE72" s="2"/>
      <c r="BF72" s="2"/>
      <c r="BG72" s="2"/>
      <c r="BH72" s="2"/>
      <c r="BI72" s="2"/>
      <c r="BJ72" s="2"/>
      <c r="BK72" s="2"/>
      <c r="BL72" s="2"/>
      <c r="BM72" s="2"/>
      <c r="BN72" s="2"/>
      <c r="BO72" s="2"/>
      <c r="BP72" s="2"/>
      <c r="BQ72" s="2"/>
      <c r="BR72" s="2"/>
      <c r="BS72" s="2"/>
      <c r="BT72" s="3"/>
      <c r="BU72" s="2"/>
      <c r="BV72" s="2"/>
      <c r="BW72" s="2"/>
      <c r="BX72" s="2"/>
      <c r="BY72" s="2"/>
      <c r="BZ72" s="2"/>
      <c r="CA72" s="2"/>
      <c r="CB72" s="2"/>
      <c r="CC72" s="2"/>
      <c r="CD72" s="2"/>
      <c r="CE72" s="2"/>
    </row>
    <row r="73" spans="1:83" ht="14" x14ac:dyDescent="0.3">
      <c r="A73" s="2">
        <f t="shared" si="4"/>
        <v>35.5</v>
      </c>
      <c r="B73" s="2">
        <v>2755.1579999999999</v>
      </c>
      <c r="C73" s="2">
        <v>10462.07</v>
      </c>
      <c r="D73" s="2">
        <v>10557.706</v>
      </c>
      <c r="E73" s="2">
        <v>9398.1200000000008</v>
      </c>
      <c r="F73" s="2">
        <f t="shared" si="13"/>
        <v>1293.2635000000009</v>
      </c>
      <c r="G73">
        <f t="shared" si="9"/>
        <v>15.931499999998778</v>
      </c>
      <c r="H73" s="2">
        <v>9057.9590000000007</v>
      </c>
      <c r="I73" s="3">
        <v>10669.959000000001</v>
      </c>
      <c r="J73" s="2">
        <v>9084.7839999999997</v>
      </c>
      <c r="K73" s="2">
        <v>10720.33</v>
      </c>
      <c r="L73" s="2">
        <f t="shared" si="14"/>
        <v>2883.2579999999998</v>
      </c>
      <c r="M73">
        <f t="shared" si="10"/>
        <v>-105.13350000000355</v>
      </c>
      <c r="N73" s="2">
        <v>10790.507</v>
      </c>
      <c r="O73" s="2">
        <v>2009.8240000000001</v>
      </c>
      <c r="P73" s="2">
        <v>8993.0750000000007</v>
      </c>
      <c r="Q73" s="2">
        <v>9021.3379999999997</v>
      </c>
      <c r="R73" s="2">
        <f t="shared" si="15"/>
        <v>703.6860000000006</v>
      </c>
      <c r="S73">
        <f t="shared" si="11"/>
        <v>25.198499999998603</v>
      </c>
      <c r="T73" s="2">
        <v>10345.388999999999</v>
      </c>
      <c r="U73" s="2">
        <v>10919.866</v>
      </c>
      <c r="V73" s="2">
        <v>8967.2549999999992</v>
      </c>
      <c r="W73" s="2">
        <v>10488.894</v>
      </c>
      <c r="X73" s="2">
        <f t="shared" si="16"/>
        <v>5529.9077499999985</v>
      </c>
      <c r="Y73" s="2"/>
      <c r="Z73" s="2"/>
      <c r="AA73" s="2"/>
      <c r="AB73" s="2"/>
      <c r="AC73" s="2"/>
      <c r="AD73" s="2">
        <f t="shared" si="12"/>
        <v>-30.126000000003842</v>
      </c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  <c r="BE73" s="2"/>
      <c r="BF73" s="2"/>
      <c r="BG73" s="2"/>
      <c r="BH73" s="2"/>
      <c r="BI73" s="2"/>
      <c r="BJ73" s="2"/>
      <c r="BK73" s="2"/>
      <c r="BL73" s="2"/>
      <c r="BM73" s="2"/>
      <c r="BN73" s="2"/>
      <c r="BO73" s="2"/>
      <c r="BP73" s="2"/>
      <c r="BQ73" s="2"/>
      <c r="BR73" s="2"/>
      <c r="BS73" s="2"/>
      <c r="BT73" s="2"/>
      <c r="BU73" s="2"/>
      <c r="BV73" s="2"/>
      <c r="BW73" s="2"/>
      <c r="BX73" s="2"/>
      <c r="BY73" s="2"/>
      <c r="BZ73" s="2"/>
      <c r="CA73" s="2"/>
      <c r="CB73" s="2"/>
      <c r="CC73" s="2"/>
      <c r="CD73" s="2"/>
      <c r="CE73" s="2"/>
    </row>
    <row r="74" spans="1:83" ht="14" x14ac:dyDescent="0.3">
      <c r="A74" s="2">
        <f t="shared" si="4"/>
        <v>36</v>
      </c>
      <c r="B74" s="2">
        <v>2754.931</v>
      </c>
      <c r="C74" s="2">
        <v>10468.857</v>
      </c>
      <c r="D74" s="2">
        <v>10570.587</v>
      </c>
      <c r="E74" s="2">
        <v>9405.6119999999992</v>
      </c>
      <c r="F74" s="2">
        <f t="shared" si="13"/>
        <v>1299.9967500000002</v>
      </c>
      <c r="G74">
        <f t="shared" si="9"/>
        <v>2.8810000000012224</v>
      </c>
      <c r="H74" s="2">
        <v>9073.6990000000005</v>
      </c>
      <c r="I74" s="2">
        <v>10680.859</v>
      </c>
      <c r="J74" s="2">
        <v>9092.3690000000006</v>
      </c>
      <c r="K74" s="2">
        <v>10724.849</v>
      </c>
      <c r="L74" s="2">
        <f t="shared" si="14"/>
        <v>2892.9440000000013</v>
      </c>
      <c r="M74">
        <f t="shared" si="10"/>
        <v>-6.7495000000017171</v>
      </c>
      <c r="N74" s="2">
        <v>10795.468999999999</v>
      </c>
      <c r="O74" s="2">
        <v>2011.65</v>
      </c>
      <c r="P74" s="2">
        <v>9006.4590000000007</v>
      </c>
      <c r="Q74" s="2">
        <v>9016.7649999999994</v>
      </c>
      <c r="R74" s="2">
        <f t="shared" si="15"/>
        <v>707.58575000000019</v>
      </c>
      <c r="S74">
        <f t="shared" si="11"/>
        <v>-21.975999999998749</v>
      </c>
      <c r="T74" s="2">
        <v>10342.764999999999</v>
      </c>
      <c r="U74" s="2">
        <v>10905.054</v>
      </c>
      <c r="V74" s="2">
        <v>8979.34</v>
      </c>
      <c r="W74" s="2">
        <v>10481.441999999999</v>
      </c>
      <c r="X74" s="2">
        <f t="shared" si="16"/>
        <v>5527.88825</v>
      </c>
      <c r="Y74" s="2"/>
      <c r="Z74" s="2"/>
      <c r="AA74" s="2"/>
      <c r="AB74" s="2"/>
      <c r="AC74" s="2"/>
      <c r="AD74" s="2">
        <f t="shared" si="12"/>
        <v>29.685000000004948</v>
      </c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  <c r="BE74" s="2"/>
      <c r="BF74" s="2"/>
      <c r="BG74" s="2"/>
      <c r="BH74" s="2"/>
      <c r="BI74" s="2"/>
      <c r="BJ74" s="2"/>
      <c r="BK74" s="2"/>
      <c r="BL74" s="2"/>
      <c r="BM74" s="2"/>
      <c r="BN74" s="2"/>
      <c r="BO74" s="2"/>
      <c r="BP74" s="2"/>
      <c r="BQ74" s="2"/>
      <c r="BR74" s="2"/>
      <c r="BS74" s="2"/>
      <c r="BT74" s="2"/>
      <c r="BU74" s="2"/>
      <c r="BV74" s="2"/>
      <c r="BW74" s="2"/>
      <c r="BX74" s="2"/>
      <c r="BY74" s="2"/>
      <c r="BZ74" s="2"/>
      <c r="CA74" s="2"/>
      <c r="CB74" s="2"/>
      <c r="CC74" s="2"/>
      <c r="CD74" s="2"/>
      <c r="CE74" s="2"/>
    </row>
    <row r="75" spans="1:83" ht="14" x14ac:dyDescent="0.3">
      <c r="A75" s="2">
        <f t="shared" si="4"/>
        <v>36.5</v>
      </c>
      <c r="B75" s="2">
        <v>2760.9259999999999</v>
      </c>
      <c r="C75" s="2">
        <v>10484.207</v>
      </c>
      <c r="D75" s="2">
        <v>10567.029</v>
      </c>
      <c r="E75" s="2">
        <v>9419.6880000000001</v>
      </c>
      <c r="F75" s="2">
        <f t="shared" si="13"/>
        <v>1307.9624999999996</v>
      </c>
      <c r="G75">
        <f t="shared" si="9"/>
        <v>-4.3434999999990396</v>
      </c>
      <c r="H75" s="2">
        <v>9068.8799999999992</v>
      </c>
      <c r="I75" s="2">
        <v>10442.471</v>
      </c>
      <c r="J75" s="2">
        <v>9103.0059999999994</v>
      </c>
      <c r="K75" s="2">
        <v>10747.152</v>
      </c>
      <c r="L75" s="2">
        <f t="shared" si="14"/>
        <v>2840.3772499999995</v>
      </c>
      <c r="M75">
        <f t="shared" si="10"/>
        <v>128.38600000000224</v>
      </c>
      <c r="N75" s="2">
        <v>10814.927</v>
      </c>
      <c r="O75" s="2">
        <v>2012.5530000000001</v>
      </c>
      <c r="P75" s="2">
        <v>9014.5849999999991</v>
      </c>
      <c r="Q75" s="2">
        <v>9038.6749999999993</v>
      </c>
      <c r="R75" s="2">
        <f t="shared" si="15"/>
        <v>720.18499999999949</v>
      </c>
      <c r="S75">
        <f t="shared" si="11"/>
        <v>18.537000000000262</v>
      </c>
      <c r="T75" s="2">
        <v>10358.489</v>
      </c>
      <c r="U75" s="2">
        <v>10888.371999999999</v>
      </c>
      <c r="V75" s="2">
        <v>8958.0339999999997</v>
      </c>
      <c r="W75" s="2">
        <v>10492.106</v>
      </c>
      <c r="X75" s="2">
        <f t="shared" si="16"/>
        <v>5512.8252499999981</v>
      </c>
      <c r="Y75" s="2"/>
      <c r="Z75" s="2"/>
      <c r="AA75" s="2"/>
      <c r="AB75" s="2"/>
      <c r="AC75" s="2"/>
      <c r="AD75" s="2">
        <f t="shared" si="12"/>
        <v>-19.253000000004249</v>
      </c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  <c r="BE75" s="2"/>
      <c r="BF75" s="2"/>
      <c r="BG75" s="2"/>
      <c r="BH75" s="2"/>
      <c r="BI75" s="2"/>
      <c r="BJ75" s="2"/>
      <c r="BK75" s="2"/>
      <c r="BL75" s="2"/>
      <c r="BM75" s="2"/>
      <c r="BN75" s="2"/>
      <c r="BO75" s="2"/>
      <c r="BP75" s="2"/>
      <c r="BQ75" s="2"/>
      <c r="BR75" s="2"/>
      <c r="BS75" s="2"/>
      <c r="BT75" s="2"/>
      <c r="BU75" s="2"/>
      <c r="BV75" s="2"/>
      <c r="BW75" s="2"/>
      <c r="BX75" s="2"/>
      <c r="BY75" s="2"/>
      <c r="BZ75" s="2"/>
      <c r="CA75" s="2"/>
      <c r="CB75" s="2"/>
      <c r="CC75" s="2"/>
      <c r="CD75" s="2"/>
      <c r="CE75" s="2"/>
    </row>
    <row r="76" spans="1:83" ht="14" x14ac:dyDescent="0.3">
      <c r="A76" s="2">
        <f t="shared" si="4"/>
        <v>37</v>
      </c>
      <c r="B76" s="2">
        <v>2760.299</v>
      </c>
      <c r="C76" s="2">
        <v>10491.514999999999</v>
      </c>
      <c r="D76" s="2">
        <v>10563.825999999999</v>
      </c>
      <c r="E76" s="2">
        <v>9421.9719999999998</v>
      </c>
      <c r="F76" s="2">
        <f t="shared" si="13"/>
        <v>1309.4030000000002</v>
      </c>
      <c r="G76">
        <f t="shared" si="9"/>
        <v>-29.644000000003871</v>
      </c>
      <c r="H76" s="2">
        <v>9074.7540000000008</v>
      </c>
      <c r="I76" s="2">
        <v>10440.06</v>
      </c>
      <c r="J76" s="2">
        <v>9096.5259999999998</v>
      </c>
      <c r="K76" s="2">
        <v>10736.67</v>
      </c>
      <c r="L76" s="2">
        <f t="shared" si="14"/>
        <v>2837.0024999999987</v>
      </c>
      <c r="M76">
        <f t="shared" si="10"/>
        <v>-269.87149999999747</v>
      </c>
      <c r="N76" s="2">
        <v>10808.564</v>
      </c>
      <c r="O76" s="2">
        <v>2011.492</v>
      </c>
      <c r="P76" s="2">
        <v>9001.7099999999991</v>
      </c>
      <c r="Q76" s="2">
        <v>9015.0220000000008</v>
      </c>
      <c r="R76" s="2">
        <f t="shared" si="15"/>
        <v>709.19700000000012</v>
      </c>
      <c r="S76">
        <f t="shared" si="11"/>
        <v>-20.837500000001455</v>
      </c>
      <c r="T76" s="2">
        <v>10342.187</v>
      </c>
      <c r="U76" s="2">
        <v>10914.253000000001</v>
      </c>
      <c r="V76" s="2">
        <v>8969.9889999999996</v>
      </c>
      <c r="W76" s="2">
        <v>10489.357</v>
      </c>
      <c r="X76" s="2">
        <f t="shared" si="16"/>
        <v>5527.6677500000005</v>
      </c>
      <c r="Y76" s="2"/>
      <c r="Z76" s="2"/>
      <c r="AA76" s="2"/>
      <c r="AB76" s="2"/>
      <c r="AC76" s="2"/>
      <c r="AD76" s="2">
        <f t="shared" si="12"/>
        <v>-30.181999999997061</v>
      </c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  <c r="BE76" s="2"/>
      <c r="BF76" s="2"/>
      <c r="BG76" s="2"/>
      <c r="BH76" s="2"/>
      <c r="BI76" s="2"/>
      <c r="BJ76" s="2"/>
      <c r="BK76" s="2"/>
      <c r="BL76" s="2"/>
      <c r="BM76" s="2"/>
      <c r="BN76" s="2"/>
      <c r="BO76" s="2"/>
      <c r="BP76" s="2"/>
      <c r="BQ76" s="2"/>
      <c r="BR76" s="2"/>
      <c r="BS76" s="2"/>
      <c r="BT76" s="2"/>
      <c r="BU76" s="2"/>
      <c r="BV76" s="2"/>
      <c r="BW76" s="2"/>
      <c r="BX76" s="2"/>
      <c r="BY76" s="2"/>
      <c r="BZ76" s="2"/>
      <c r="CA76" s="2"/>
      <c r="CB76" s="2"/>
      <c r="CC76" s="2"/>
      <c r="CD76" s="2"/>
      <c r="CE76" s="2"/>
    </row>
    <row r="77" spans="1:83" ht="14" x14ac:dyDescent="0.3">
      <c r="A77" s="2">
        <f t="shared" si="4"/>
        <v>37.5</v>
      </c>
      <c r="B77" s="2">
        <v>2760.2890000000002</v>
      </c>
      <c r="C77" s="2">
        <v>10484.557000000001</v>
      </c>
      <c r="D77" s="2">
        <v>10555.213</v>
      </c>
      <c r="E77" s="2">
        <v>9428.866</v>
      </c>
      <c r="F77" s="2">
        <f t="shared" si="13"/>
        <v>1307.2312500000007</v>
      </c>
      <c r="G77">
        <f t="shared" si="9"/>
        <v>28.413000000000466</v>
      </c>
      <c r="H77" s="2">
        <v>9068.2559999999994</v>
      </c>
      <c r="I77" s="2">
        <v>10697.45</v>
      </c>
      <c r="J77" s="2">
        <v>9103.0229999999992</v>
      </c>
      <c r="K77" s="2">
        <v>10736.053</v>
      </c>
      <c r="L77" s="2">
        <f t="shared" si="14"/>
        <v>2901.1954999999998</v>
      </c>
      <c r="M77">
        <f t="shared" si="10"/>
        <v>249.1394999999975</v>
      </c>
      <c r="N77" s="2">
        <v>10806.692999999999</v>
      </c>
      <c r="O77" s="2">
        <v>2012.348</v>
      </c>
      <c r="P77" s="2">
        <v>9006.3870000000006</v>
      </c>
      <c r="Q77" s="2">
        <v>9048.4339999999993</v>
      </c>
      <c r="R77" s="2">
        <f t="shared" si="15"/>
        <v>718.46550000000025</v>
      </c>
      <c r="S77">
        <f t="shared" si="11"/>
        <v>-38.841499999998632</v>
      </c>
      <c r="T77" s="2">
        <v>10334.112999999999</v>
      </c>
      <c r="U77" s="2">
        <v>10911.248</v>
      </c>
      <c r="V77" s="2">
        <v>8957.7780000000002</v>
      </c>
      <c r="W77" s="2">
        <v>10485.040999999999</v>
      </c>
      <c r="X77" s="2">
        <f t="shared" si="16"/>
        <v>5518.0412499999984</v>
      </c>
      <c r="Y77" s="2"/>
      <c r="Z77" s="2"/>
      <c r="AA77" s="2"/>
      <c r="AB77" s="2"/>
      <c r="AC77" s="2"/>
      <c r="AD77" s="2">
        <f t="shared" si="12"/>
        <v>63.904500000000553</v>
      </c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  <c r="BE77" s="2"/>
      <c r="BF77" s="2"/>
      <c r="BG77" s="2"/>
      <c r="BH77" s="2"/>
      <c r="BI77" s="2"/>
      <c r="BJ77" s="2"/>
      <c r="BK77" s="2"/>
      <c r="BL77" s="2"/>
      <c r="BM77" s="2"/>
      <c r="BN77" s="2"/>
      <c r="BO77" s="2"/>
      <c r="BP77" s="2"/>
      <c r="BQ77" s="2"/>
      <c r="BR77" s="2"/>
      <c r="BS77" s="2"/>
      <c r="BT77" s="2"/>
      <c r="BU77" s="2"/>
      <c r="BV77" s="2"/>
      <c r="BW77" s="3"/>
      <c r="BX77" s="3"/>
      <c r="BY77" s="3"/>
      <c r="BZ77" s="2"/>
      <c r="CA77" s="2"/>
      <c r="CB77" s="2"/>
      <c r="CC77" s="2"/>
      <c r="CD77" s="2"/>
      <c r="CE77" s="2"/>
    </row>
    <row r="78" spans="1:83" ht="14" x14ac:dyDescent="0.3">
      <c r="A78" s="2">
        <f t="shared" si="4"/>
        <v>38</v>
      </c>
      <c r="B78" s="2">
        <v>2757.7730000000001</v>
      </c>
      <c r="C78" s="2">
        <v>10481.92</v>
      </c>
      <c r="D78" s="2">
        <v>10513.254999999999</v>
      </c>
      <c r="E78" s="2">
        <v>9416.6890000000003</v>
      </c>
      <c r="F78" s="2">
        <f t="shared" si="13"/>
        <v>1292.4092499999988</v>
      </c>
      <c r="G78">
        <f t="shared" si="9"/>
        <v>128.40250000000015</v>
      </c>
      <c r="H78" s="2">
        <v>9041.69</v>
      </c>
      <c r="I78" s="2">
        <v>10202.764999999999</v>
      </c>
      <c r="J78" s="2">
        <v>9091.9060000000009</v>
      </c>
      <c r="K78" s="2">
        <v>10728.678</v>
      </c>
      <c r="L78" s="2">
        <f t="shared" si="14"/>
        <v>2766.2597500000011</v>
      </c>
      <c r="M78">
        <f t="shared" si="10"/>
        <v>-50.082500000000437</v>
      </c>
      <c r="N78" s="2">
        <v>10790.532999999999</v>
      </c>
      <c r="O78" s="2">
        <v>2004.268</v>
      </c>
      <c r="P78" s="2">
        <v>9000.4560000000001</v>
      </c>
      <c r="Q78" s="2">
        <v>9036.93</v>
      </c>
      <c r="R78" s="2">
        <f t="shared" si="15"/>
        <v>708.04674999999952</v>
      </c>
      <c r="S78">
        <f t="shared" si="11"/>
        <v>86.021499999998923</v>
      </c>
      <c r="T78" s="2">
        <v>10331.942999999999</v>
      </c>
      <c r="U78" s="2">
        <v>10907.16</v>
      </c>
      <c r="V78" s="2">
        <v>8932.7690000000002</v>
      </c>
      <c r="W78" s="2">
        <v>10480.041999999999</v>
      </c>
      <c r="X78" s="2">
        <f t="shared" si="16"/>
        <v>5502.9502499999999</v>
      </c>
      <c r="Y78" s="2"/>
      <c r="Z78" s="2"/>
      <c r="AA78" s="2"/>
      <c r="AB78" s="2"/>
      <c r="AC78" s="2"/>
      <c r="AD78" s="2">
        <f t="shared" si="12"/>
        <v>151.75600000000122</v>
      </c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  <c r="BE78" s="2"/>
      <c r="BF78" s="2"/>
      <c r="BG78" s="2"/>
      <c r="BH78" s="2"/>
      <c r="BI78" s="2"/>
      <c r="BJ78" s="2"/>
      <c r="BK78" s="2"/>
      <c r="BL78" s="2"/>
      <c r="BM78" s="2"/>
      <c r="BN78" s="2"/>
      <c r="BO78" s="2"/>
      <c r="BP78" s="3"/>
      <c r="BQ78" s="3"/>
      <c r="BR78" s="2"/>
      <c r="BS78" s="2"/>
      <c r="BT78" s="2"/>
      <c r="BU78" s="2"/>
      <c r="BV78" s="2"/>
      <c r="BW78" s="2"/>
      <c r="BX78" s="2"/>
      <c r="BY78" s="2"/>
      <c r="BZ78" s="2"/>
      <c r="CA78" s="2"/>
      <c r="CB78" s="2"/>
      <c r="CC78" s="2"/>
      <c r="CD78" s="2"/>
      <c r="CE78" s="2"/>
    </row>
    <row r="79" spans="1:83" ht="14" x14ac:dyDescent="0.3">
      <c r="A79" s="2">
        <f t="shared" si="4"/>
        <v>38.5</v>
      </c>
      <c r="B79" s="2">
        <v>2750.48</v>
      </c>
      <c r="C79" s="2">
        <v>10442.397999999999</v>
      </c>
      <c r="D79" s="2">
        <v>10639.828</v>
      </c>
      <c r="E79" s="2">
        <v>9393.7569999999996</v>
      </c>
      <c r="F79" s="2">
        <f t="shared" si="13"/>
        <v>1306.615749999999</v>
      </c>
      <c r="G79">
        <f t="shared" si="9"/>
        <v>-21.291499999995722</v>
      </c>
      <c r="H79" s="2">
        <v>9155.9979999999996</v>
      </c>
      <c r="I79" s="3">
        <v>10645.212</v>
      </c>
      <c r="J79" s="2">
        <v>9063.8469999999998</v>
      </c>
      <c r="K79" s="2">
        <v>10698.261</v>
      </c>
      <c r="L79" s="2">
        <f t="shared" si="14"/>
        <v>2890.8294999999998</v>
      </c>
      <c r="M79">
        <f t="shared" si="10"/>
        <v>-35.712999999999738</v>
      </c>
      <c r="N79" s="2">
        <v>10760.785</v>
      </c>
      <c r="O79" s="2">
        <v>2029.3050000000001</v>
      </c>
      <c r="P79" s="2">
        <v>8970.2260000000006</v>
      </c>
      <c r="Q79" s="2">
        <v>8994.1880000000001</v>
      </c>
      <c r="R79" s="2">
        <f t="shared" si="15"/>
        <v>688.6260000000002</v>
      </c>
      <c r="S79">
        <f t="shared" si="11"/>
        <v>-19.883499999999913</v>
      </c>
      <c r="T79" s="2">
        <v>10298.522000000001</v>
      </c>
      <c r="U79" s="2">
        <v>10874.455</v>
      </c>
      <c r="V79" s="2">
        <v>9046.0889999999999</v>
      </c>
      <c r="W79" s="2">
        <v>10448.700999999999</v>
      </c>
      <c r="X79" s="2">
        <f t="shared" si="16"/>
        <v>5534.9025000000001</v>
      </c>
      <c r="Y79" s="2"/>
      <c r="Z79" s="2"/>
      <c r="AA79" s="2"/>
      <c r="AB79" s="2"/>
      <c r="AC79" s="2"/>
      <c r="AD79" s="2">
        <f t="shared" si="12"/>
        <v>-51.149000000004889</v>
      </c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3"/>
      <c r="AU79" s="2"/>
      <c r="AV79" s="2"/>
      <c r="AW79" s="2"/>
      <c r="AX79" s="2"/>
      <c r="AY79" s="2"/>
      <c r="AZ79" s="2"/>
      <c r="BA79" s="2"/>
      <c r="BB79" s="2"/>
      <c r="BC79" s="2"/>
      <c r="BD79" s="2"/>
      <c r="BE79" s="2"/>
      <c r="BF79" s="2"/>
      <c r="BG79" s="2"/>
      <c r="BH79" s="2"/>
      <c r="BI79" s="2"/>
      <c r="BJ79" s="2"/>
      <c r="BK79" s="2"/>
      <c r="BL79" s="2"/>
      <c r="BM79" s="3"/>
      <c r="BN79" s="2"/>
      <c r="BO79" s="2"/>
      <c r="BP79" s="3"/>
      <c r="BQ79" s="2"/>
      <c r="BR79" s="2"/>
      <c r="BS79" s="2"/>
      <c r="BT79" s="2"/>
      <c r="BU79" s="2"/>
      <c r="BV79" s="2"/>
      <c r="BW79" s="3"/>
      <c r="BX79" s="3"/>
      <c r="BY79" s="2"/>
      <c r="BZ79" s="2"/>
      <c r="CA79" s="2"/>
      <c r="CB79" s="2"/>
      <c r="CC79" s="2"/>
      <c r="CD79" s="2"/>
      <c r="CE79" s="2"/>
    </row>
    <row r="80" spans="1:83" ht="14" x14ac:dyDescent="0.3">
      <c r="A80" s="2">
        <f t="shared" si="4"/>
        <v>39</v>
      </c>
      <c r="B80" s="2">
        <v>2784.1109999999999</v>
      </c>
      <c r="C80" s="2">
        <v>10569.063</v>
      </c>
      <c r="D80" s="2">
        <v>10622.47</v>
      </c>
      <c r="E80" s="2">
        <v>9507.6239999999998</v>
      </c>
      <c r="F80" s="2">
        <f t="shared" si="13"/>
        <v>1370.8169999999991</v>
      </c>
      <c r="G80">
        <f t="shared" si="9"/>
        <v>-30.465000000003783</v>
      </c>
      <c r="H80" s="2">
        <v>9145.2039999999997</v>
      </c>
      <c r="I80" s="2">
        <v>10300.611999999999</v>
      </c>
      <c r="J80" s="2">
        <v>9182.7569999999996</v>
      </c>
      <c r="K80" s="2">
        <v>10834.58</v>
      </c>
      <c r="L80" s="2">
        <f t="shared" si="14"/>
        <v>2865.7882499999996</v>
      </c>
      <c r="M80">
        <f t="shared" si="10"/>
        <v>191.8760000000002</v>
      </c>
      <c r="N80" s="2">
        <v>10899.404</v>
      </c>
      <c r="O80" s="2">
        <v>1829.854</v>
      </c>
      <c r="P80" s="2">
        <v>9092.59</v>
      </c>
      <c r="Q80" s="2">
        <v>9104.6990000000005</v>
      </c>
      <c r="R80" s="2">
        <f t="shared" si="15"/>
        <v>731.63674999999967</v>
      </c>
      <c r="S80">
        <f t="shared" si="11"/>
        <v>-36.955000000001746</v>
      </c>
      <c r="T80" s="2">
        <v>10433.567999999999</v>
      </c>
      <c r="U80" s="2">
        <v>10965.065000000001</v>
      </c>
      <c r="V80" s="2">
        <v>9039.7119999999995</v>
      </c>
      <c r="W80" s="2">
        <v>10573.755999999999</v>
      </c>
      <c r="X80" s="2">
        <f t="shared" si="16"/>
        <v>5610.7805000000008</v>
      </c>
      <c r="Y80" s="2"/>
      <c r="Z80" s="2"/>
      <c r="AA80" s="2"/>
      <c r="AB80" s="2"/>
      <c r="AC80" s="2"/>
      <c r="AD80" s="2">
        <f t="shared" si="12"/>
        <v>-38.32499999999709</v>
      </c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3"/>
      <c r="AU80" s="2"/>
      <c r="AV80" s="2"/>
      <c r="AW80" s="2"/>
      <c r="AX80" s="2"/>
      <c r="AY80" s="2"/>
      <c r="AZ80" s="2"/>
      <c r="BA80" s="2"/>
      <c r="BB80" s="2"/>
      <c r="BC80" s="2"/>
      <c r="BD80" s="2"/>
      <c r="BE80" s="2"/>
      <c r="BF80" s="2"/>
      <c r="BG80" s="2"/>
      <c r="BH80" s="2"/>
      <c r="BI80" s="2"/>
      <c r="BJ80" s="2"/>
      <c r="BK80" s="2"/>
      <c r="BL80" s="2"/>
      <c r="BM80" s="2"/>
      <c r="BN80" s="2"/>
      <c r="BO80" s="2"/>
      <c r="BP80" s="2"/>
      <c r="BQ80" s="2"/>
      <c r="BR80" s="2"/>
      <c r="BS80" s="2"/>
      <c r="BT80" s="2"/>
      <c r="BU80" s="2"/>
      <c r="BV80" s="2"/>
      <c r="BW80" s="2"/>
      <c r="BX80" s="2"/>
      <c r="BY80" s="2"/>
      <c r="BZ80" s="2"/>
      <c r="CA80" s="2"/>
      <c r="CB80" s="2"/>
      <c r="CC80" s="2"/>
      <c r="CD80" s="2"/>
      <c r="CE80" s="2"/>
    </row>
    <row r="81" spans="1:83" ht="14" x14ac:dyDescent="0.3">
      <c r="A81" s="2">
        <f t="shared" si="4"/>
        <v>39.5</v>
      </c>
      <c r="B81" s="2">
        <v>2780.373</v>
      </c>
      <c r="C81" s="2">
        <v>10554.745000000001</v>
      </c>
      <c r="D81" s="2">
        <v>10610.466</v>
      </c>
      <c r="E81" s="2">
        <v>9495.1010000000006</v>
      </c>
      <c r="F81" s="2">
        <f t="shared" si="13"/>
        <v>1360.1712500000012</v>
      </c>
      <c r="G81">
        <f t="shared" si="9"/>
        <v>-36.633999999998196</v>
      </c>
      <c r="H81" s="2">
        <v>9119.0630000000001</v>
      </c>
      <c r="I81" s="3">
        <v>10283.326999999999</v>
      </c>
      <c r="J81" s="2">
        <v>9168.2029999999995</v>
      </c>
      <c r="K81" s="2">
        <v>10821.134</v>
      </c>
      <c r="L81" s="2">
        <f t="shared" si="14"/>
        <v>2847.9317499999997</v>
      </c>
      <c r="M81">
        <f t="shared" si="10"/>
        <v>-39.701500000002852</v>
      </c>
      <c r="N81" s="2">
        <v>10878.564</v>
      </c>
      <c r="O81" s="2">
        <v>1826.3720000000001</v>
      </c>
      <c r="P81" s="2">
        <v>9068.8729999999996</v>
      </c>
      <c r="Q81" s="2">
        <v>9112.9709999999995</v>
      </c>
      <c r="R81" s="2">
        <f t="shared" si="15"/>
        <v>721.69499999999971</v>
      </c>
      <c r="S81">
        <f t="shared" si="11"/>
        <v>56.338500000001659</v>
      </c>
      <c r="T81" s="2">
        <v>10415.191999999999</v>
      </c>
      <c r="U81" s="2">
        <v>10948.008</v>
      </c>
      <c r="V81" s="2">
        <v>9014.8080000000009</v>
      </c>
      <c r="W81" s="2">
        <v>10568.798000000001</v>
      </c>
      <c r="X81" s="2">
        <f t="shared" si="16"/>
        <v>5585.2059999999983</v>
      </c>
      <c r="Y81" s="2"/>
      <c r="Z81" s="2"/>
      <c r="AA81" s="2"/>
      <c r="AB81" s="2"/>
      <c r="AC81" s="2"/>
      <c r="AD81" s="2">
        <f t="shared" si="12"/>
        <v>-8.9194999999963329</v>
      </c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  <c r="BE81" s="2"/>
      <c r="BF81" s="2"/>
      <c r="BG81" s="2"/>
      <c r="BH81" s="2"/>
      <c r="BI81" s="2"/>
      <c r="BJ81" s="2"/>
      <c r="BK81" s="2"/>
      <c r="BL81" s="2"/>
      <c r="BM81" s="2"/>
      <c r="BN81" s="2"/>
      <c r="BO81" s="2"/>
      <c r="BP81" s="2"/>
      <c r="BQ81" s="2"/>
      <c r="BR81" s="2"/>
      <c r="BS81" s="2"/>
      <c r="BT81" s="2"/>
      <c r="BU81" s="2"/>
      <c r="BV81" s="2"/>
      <c r="BW81" s="2"/>
      <c r="BX81" s="2"/>
      <c r="BY81" s="2"/>
      <c r="BZ81" s="2"/>
      <c r="CA81" s="2"/>
      <c r="CB81" s="2"/>
      <c r="CC81" s="2"/>
      <c r="CD81" s="2"/>
      <c r="CE81" s="2"/>
    </row>
    <row r="82" spans="1:83" ht="14" x14ac:dyDescent="0.3">
      <c r="A82" s="2">
        <f t="shared" si="4"/>
        <v>40</v>
      </c>
      <c r="B82" s="2">
        <v>2775.3310000000001</v>
      </c>
      <c r="C82" s="2">
        <v>10538.402</v>
      </c>
      <c r="D82" s="2">
        <v>10585.513999999999</v>
      </c>
      <c r="E82" s="2">
        <v>9480.5079999999998</v>
      </c>
      <c r="F82" s="2">
        <f t="shared" si="13"/>
        <v>1344.9387499999993</v>
      </c>
      <c r="G82">
        <f t="shared" si="9"/>
        <v>-25.601500000000669</v>
      </c>
      <c r="H82" s="2">
        <v>9101.1440000000002</v>
      </c>
      <c r="I82" s="2">
        <v>10742.355</v>
      </c>
      <c r="J82" s="2">
        <v>9140.2479999999996</v>
      </c>
      <c r="K82" s="2">
        <v>10791.732</v>
      </c>
      <c r="L82" s="2">
        <f t="shared" si="14"/>
        <v>2943.8697499999998</v>
      </c>
      <c r="M82">
        <f t="shared" si="10"/>
        <v>-25.548999999995431</v>
      </c>
      <c r="N82" s="2">
        <v>10859.251</v>
      </c>
      <c r="O82" s="2">
        <v>1823.0229999999999</v>
      </c>
      <c r="P82" s="2">
        <v>9044.7649999999994</v>
      </c>
      <c r="Q82" s="2">
        <v>9085.8310000000001</v>
      </c>
      <c r="R82" s="2">
        <f t="shared" si="15"/>
        <v>703.21749999999884</v>
      </c>
      <c r="S82">
        <f t="shared" si="11"/>
        <v>-29.331999999998516</v>
      </c>
      <c r="T82" s="2">
        <v>10392.66</v>
      </c>
      <c r="U82" s="2">
        <v>10935.74</v>
      </c>
      <c r="V82" s="2">
        <v>9000.0169999999998</v>
      </c>
      <c r="W82" s="2">
        <v>10543.540999999999</v>
      </c>
      <c r="X82" s="2">
        <f t="shared" si="16"/>
        <v>5566.0434999999998</v>
      </c>
      <c r="Y82" s="2"/>
      <c r="Z82" s="2"/>
      <c r="AA82" s="2"/>
      <c r="AB82" s="2"/>
      <c r="AC82" s="2"/>
      <c r="AD82" s="2">
        <f t="shared" si="12"/>
        <v>-11.009000000005472</v>
      </c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  <c r="BE82" s="2"/>
      <c r="BF82" s="2"/>
      <c r="BG82" s="2"/>
      <c r="BH82" s="2"/>
      <c r="BI82" s="2"/>
      <c r="BJ82" s="2"/>
      <c r="BK82" s="2"/>
      <c r="BL82" s="2"/>
      <c r="BM82" s="2"/>
      <c r="BN82" s="2"/>
      <c r="BO82" s="2"/>
      <c r="BP82" s="2"/>
      <c r="BQ82" s="2"/>
      <c r="BR82" s="2"/>
      <c r="BS82" s="2"/>
      <c r="BT82" s="2"/>
      <c r="BU82" s="2"/>
      <c r="BV82" s="2"/>
      <c r="BW82" s="2"/>
      <c r="BX82" s="2"/>
      <c r="BY82" s="2"/>
      <c r="BZ82" s="2"/>
      <c r="CA82" s="2"/>
      <c r="CB82" s="2"/>
      <c r="CC82" s="2"/>
      <c r="CD82" s="2"/>
      <c r="CE82" s="2"/>
    </row>
    <row r="83" spans="1:83" ht="14" x14ac:dyDescent="0.3">
      <c r="A83" s="2">
        <f t="shared" si="4"/>
        <v>40.5</v>
      </c>
      <c r="B83" s="2">
        <v>2765.973</v>
      </c>
      <c r="C83" s="2">
        <v>10521.419</v>
      </c>
      <c r="D83" s="2">
        <v>10559.879000000001</v>
      </c>
      <c r="E83" s="2">
        <v>9459.2160000000003</v>
      </c>
      <c r="F83" s="2">
        <f t="shared" si="13"/>
        <v>1326.6217500000002</v>
      </c>
      <c r="G83">
        <f t="shared" si="9"/>
        <v>18.616000000001804</v>
      </c>
      <c r="H83" s="2">
        <v>9083.1049999999996</v>
      </c>
      <c r="I83" s="2">
        <v>10724.989</v>
      </c>
      <c r="J83" s="2">
        <v>9118.6910000000007</v>
      </c>
      <c r="K83" s="2">
        <v>10769.290999999999</v>
      </c>
      <c r="L83" s="2">
        <f t="shared" si="14"/>
        <v>2924.0189999999984</v>
      </c>
      <c r="M83">
        <f t="shared" si="10"/>
        <v>-111.43449999999939</v>
      </c>
      <c r="N83" s="2">
        <v>10832.200999999999</v>
      </c>
      <c r="O83" s="2">
        <v>2015.2660000000001</v>
      </c>
      <c r="P83" s="2">
        <v>9027.1059999999998</v>
      </c>
      <c r="Q83" s="2">
        <v>9050.9740000000002</v>
      </c>
      <c r="R83" s="2">
        <f t="shared" si="15"/>
        <v>731.38674999999967</v>
      </c>
      <c r="S83">
        <f t="shared" si="11"/>
        <v>45.617500000000291</v>
      </c>
      <c r="T83" s="2">
        <v>10375.985000000001</v>
      </c>
      <c r="U83" s="2">
        <v>10946.012000000001</v>
      </c>
      <c r="V83" s="2">
        <v>8989.1630000000005</v>
      </c>
      <c r="W83" s="2">
        <v>10528.021000000001</v>
      </c>
      <c r="X83" s="2">
        <f t="shared" si="16"/>
        <v>5561.5837500000016</v>
      </c>
      <c r="Y83" s="2"/>
      <c r="Z83" s="2"/>
      <c r="AA83" s="2"/>
      <c r="AB83" s="2"/>
      <c r="AC83" s="2"/>
      <c r="AD83" s="2">
        <f t="shared" si="12"/>
        <v>10.42450000000099</v>
      </c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  <c r="BA83" s="2"/>
      <c r="BB83" s="2"/>
      <c r="BC83" s="2"/>
      <c r="BD83" s="2"/>
      <c r="BE83" s="2"/>
      <c r="BF83" s="2"/>
      <c r="BG83" s="2"/>
      <c r="BH83" s="2"/>
      <c r="BI83" s="2"/>
      <c r="BJ83" s="2"/>
      <c r="BK83" s="2"/>
      <c r="BL83" s="2"/>
      <c r="BM83" s="2"/>
      <c r="BN83" s="2"/>
      <c r="BO83" s="2"/>
      <c r="BP83" s="2"/>
      <c r="BQ83" s="2"/>
      <c r="BR83" s="2"/>
      <c r="BS83" s="2"/>
      <c r="BT83" s="2"/>
      <c r="BU83" s="2"/>
      <c r="BV83" s="2"/>
      <c r="BW83" s="2"/>
      <c r="BX83" s="2"/>
      <c r="BY83" s="2"/>
      <c r="BZ83" s="2"/>
      <c r="CA83" s="2"/>
      <c r="CB83" s="2"/>
      <c r="CC83" s="2"/>
      <c r="CD83" s="2"/>
      <c r="CE83" s="2"/>
    </row>
    <row r="84" spans="1:83" ht="14" x14ac:dyDescent="0.3">
      <c r="A84" s="2">
        <f t="shared" si="4"/>
        <v>41</v>
      </c>
      <c r="B84" s="2">
        <v>2761.7220000000002</v>
      </c>
      <c r="C84" s="2">
        <v>10488.441000000001</v>
      </c>
      <c r="D84" s="2">
        <v>10568.574000000001</v>
      </c>
      <c r="E84" s="2">
        <v>9436.5470000000005</v>
      </c>
      <c r="F84" s="2">
        <f t="shared" si="13"/>
        <v>1313.8209999999999</v>
      </c>
      <c r="G84">
        <f t="shared" si="9"/>
        <v>14.309499999995751</v>
      </c>
      <c r="H84" s="2">
        <v>9092.1790000000001</v>
      </c>
      <c r="I84" s="2">
        <v>10697.254000000001</v>
      </c>
      <c r="J84" s="2">
        <v>9104.8780000000006</v>
      </c>
      <c r="K84" s="2">
        <v>10750.666999999999</v>
      </c>
      <c r="L84" s="2">
        <f t="shared" si="14"/>
        <v>2911.2445000000007</v>
      </c>
      <c r="M84">
        <f t="shared" si="10"/>
        <v>22.772499999995489</v>
      </c>
      <c r="N84" s="2">
        <v>10810.325000000001</v>
      </c>
      <c r="O84" s="2">
        <v>2015.174</v>
      </c>
      <c r="P84" s="2">
        <v>9014.4840000000004</v>
      </c>
      <c r="Q84" s="2">
        <v>9026.9</v>
      </c>
      <c r="R84" s="2">
        <f t="shared" si="15"/>
        <v>716.72075000000041</v>
      </c>
      <c r="S84">
        <f t="shared" si="11"/>
        <v>-26.095000000001164</v>
      </c>
      <c r="T84" s="2">
        <v>10362.514999999999</v>
      </c>
      <c r="U84" s="2">
        <v>10934.933999999999</v>
      </c>
      <c r="V84" s="2">
        <v>8995.9670000000006</v>
      </c>
      <c r="W84" s="2">
        <v>10504.994000000001</v>
      </c>
      <c r="X84" s="2">
        <f t="shared" si="16"/>
        <v>5556.0792499999989</v>
      </c>
      <c r="Y84" s="2"/>
      <c r="Z84" s="2"/>
      <c r="AA84" s="2"/>
      <c r="AB84" s="2"/>
      <c r="AC84" s="2"/>
      <c r="AD84" s="2">
        <f t="shared" si="12"/>
        <v>10.860999999997148</v>
      </c>
      <c r="AE84" s="2"/>
      <c r="AF84" s="2"/>
      <c r="AG84" s="2"/>
      <c r="AH84" s="2"/>
      <c r="AI84" s="2"/>
      <c r="AJ84" s="2"/>
      <c r="AK84" s="3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  <c r="BE84" s="2"/>
      <c r="BF84" s="2"/>
      <c r="BG84" s="2"/>
      <c r="BH84" s="2"/>
      <c r="BI84" s="2"/>
      <c r="BJ84" s="2"/>
      <c r="BK84" s="2"/>
      <c r="BL84" s="2"/>
      <c r="BM84" s="2"/>
      <c r="BN84" s="2"/>
      <c r="BO84" s="2"/>
      <c r="BP84" s="2"/>
      <c r="BR84" s="1"/>
      <c r="BS84" s="1"/>
      <c r="BT84" s="2"/>
      <c r="BU84" s="2"/>
      <c r="BV84" s="2"/>
      <c r="BW84" s="2"/>
      <c r="BX84" s="2"/>
      <c r="BY84" s="2"/>
      <c r="BZ84" s="2"/>
      <c r="CA84" s="2"/>
      <c r="CB84" s="2"/>
      <c r="CC84" s="2"/>
      <c r="CD84" s="2"/>
      <c r="CE84" s="2"/>
    </row>
    <row r="85" spans="1:83" ht="14" x14ac:dyDescent="0.3">
      <c r="A85" s="2">
        <f t="shared" si="4"/>
        <v>41.5</v>
      </c>
      <c r="B85" s="2">
        <v>2764.4369999999999</v>
      </c>
      <c r="C85" s="2">
        <v>10506.308000000001</v>
      </c>
      <c r="D85" s="2">
        <v>10575.126</v>
      </c>
      <c r="E85" s="2">
        <v>9446.6450000000004</v>
      </c>
      <c r="F85" s="2">
        <f t="shared" si="13"/>
        <v>1323.1290000000008</v>
      </c>
      <c r="G85">
        <f t="shared" si="9"/>
        <v>20.600500000000466</v>
      </c>
      <c r="H85" s="2">
        <v>9090.9150000000009</v>
      </c>
      <c r="I85" s="2">
        <v>10459.291999999999</v>
      </c>
      <c r="J85" s="2">
        <v>9115.3040000000001</v>
      </c>
      <c r="K85" s="2">
        <v>10756.598</v>
      </c>
      <c r="L85" s="2">
        <f t="shared" si="14"/>
        <v>2855.527250000001</v>
      </c>
      <c r="M85">
        <f t="shared" si="10"/>
        <v>144.92850000000544</v>
      </c>
      <c r="N85" s="2">
        <v>10826.272999999999</v>
      </c>
      <c r="O85" s="2">
        <v>2052.2249999999999</v>
      </c>
      <c r="P85" s="2">
        <v>9015.9760000000006</v>
      </c>
      <c r="Q85" s="2">
        <v>9063.6440000000002</v>
      </c>
      <c r="R85" s="2">
        <f t="shared" si="15"/>
        <v>739.52950000000055</v>
      </c>
      <c r="S85">
        <f t="shared" si="11"/>
        <v>28.759000000000015</v>
      </c>
      <c r="T85" s="2">
        <v>10359.092000000001</v>
      </c>
      <c r="U85" s="2">
        <v>10943.700999999999</v>
      </c>
      <c r="V85" s="2">
        <v>8999.3359999999993</v>
      </c>
      <c r="W85" s="2">
        <v>10513.592000000001</v>
      </c>
      <c r="X85" s="2">
        <f t="shared" si="16"/>
        <v>5561.2914999999994</v>
      </c>
      <c r="Y85" s="2"/>
      <c r="Z85" s="2"/>
      <c r="AA85" s="2"/>
      <c r="AB85" s="2"/>
      <c r="AC85" s="2"/>
      <c r="AD85" s="2">
        <f t="shared" si="12"/>
        <v>-14.205999999991036</v>
      </c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  <c r="BE85" s="2"/>
      <c r="BF85" s="2"/>
      <c r="BG85" s="2"/>
      <c r="BH85" s="2"/>
      <c r="BI85" s="2"/>
      <c r="BJ85" s="2"/>
      <c r="BK85" s="2"/>
      <c r="BL85" s="2"/>
      <c r="BM85" s="2"/>
      <c r="BN85" s="2"/>
      <c r="BO85" s="2"/>
      <c r="BP85" s="2"/>
      <c r="BQ85" s="1"/>
      <c r="BR85" s="1"/>
      <c r="BS85" s="1"/>
      <c r="BT85" s="2"/>
      <c r="BU85" s="2"/>
      <c r="BV85" s="2"/>
      <c r="BW85" s="2"/>
      <c r="BX85" s="2"/>
      <c r="BY85" s="2"/>
      <c r="BZ85" s="2"/>
      <c r="CA85" s="2"/>
      <c r="CB85" s="2"/>
      <c r="CC85" s="2"/>
      <c r="CD85" s="2"/>
      <c r="CE85" s="2"/>
    </row>
    <row r="86" spans="1:83" ht="14" x14ac:dyDescent="0.3">
      <c r="A86" s="2">
        <f t="shared" si="4"/>
        <v>42</v>
      </c>
      <c r="B86" s="2">
        <v>2764.4319999999998</v>
      </c>
      <c r="C86" s="2">
        <v>10501.598</v>
      </c>
      <c r="D86" s="2">
        <v>10600.369000000001</v>
      </c>
      <c r="E86" s="2">
        <v>9454.7360000000008</v>
      </c>
      <c r="F86" s="2">
        <f t="shared" si="13"/>
        <v>1330.2837499999987</v>
      </c>
      <c r="G86">
        <f t="shared" si="9"/>
        <v>36.943000000002939</v>
      </c>
      <c r="H86" s="2">
        <v>9114.4369999999999</v>
      </c>
      <c r="I86" s="2">
        <v>10483.92</v>
      </c>
      <c r="J86" s="2">
        <v>9113.8179999999993</v>
      </c>
      <c r="K86" s="2">
        <v>10755.478999999999</v>
      </c>
      <c r="L86" s="2">
        <f t="shared" si="14"/>
        <v>2866.9134999999987</v>
      </c>
      <c r="M86">
        <f t="shared" si="10"/>
        <v>-177.91550000000279</v>
      </c>
      <c r="N86" s="2">
        <v>10820.734</v>
      </c>
      <c r="O86" s="2">
        <v>2021.1690000000001</v>
      </c>
      <c r="P86" s="2">
        <v>9012.0490000000009</v>
      </c>
      <c r="Q86" s="2">
        <v>9051.9760000000006</v>
      </c>
      <c r="R86" s="2">
        <f t="shared" si="15"/>
        <v>726.48199999999997</v>
      </c>
      <c r="S86">
        <f t="shared" si="11"/>
        <v>-109.08300000000054</v>
      </c>
      <c r="T86" s="2">
        <v>10361.030000000001</v>
      </c>
      <c r="U86" s="2">
        <v>10937.450999999999</v>
      </c>
      <c r="V86" s="2">
        <v>9015.4779999999992</v>
      </c>
      <c r="W86" s="2">
        <v>10513.255999999999</v>
      </c>
      <c r="X86" s="2">
        <f t="shared" si="16"/>
        <v>5566.7219999999979</v>
      </c>
      <c r="Y86" s="2"/>
      <c r="Z86" s="2"/>
      <c r="AA86" s="2"/>
      <c r="AB86" s="2"/>
      <c r="AC86" s="2"/>
      <c r="AD86" s="2">
        <f t="shared" si="12"/>
        <v>181.5879999999961</v>
      </c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  <c r="BE86" s="2"/>
      <c r="BF86" s="2"/>
      <c r="BG86" s="2"/>
      <c r="BH86" s="2"/>
      <c r="BI86" s="2"/>
      <c r="BJ86" s="2"/>
      <c r="BK86" s="2"/>
      <c r="BL86" s="2"/>
      <c r="BM86" s="2"/>
      <c r="BN86" s="2"/>
      <c r="BO86" s="2"/>
      <c r="BP86" s="2"/>
      <c r="BQ86" s="1"/>
      <c r="BR86" s="1"/>
      <c r="BS86" s="1"/>
      <c r="BT86" s="2"/>
      <c r="BU86" s="2"/>
      <c r="BV86" s="2"/>
      <c r="BW86" s="2"/>
      <c r="BX86" s="2"/>
      <c r="BY86" s="2"/>
      <c r="BZ86" s="2"/>
      <c r="CA86" s="2"/>
      <c r="CB86" s="2"/>
      <c r="CC86" s="2"/>
      <c r="CD86" s="2"/>
      <c r="CE86" s="2"/>
    </row>
    <row r="87" spans="1:83" ht="14" x14ac:dyDescent="0.3">
      <c r="A87" s="2">
        <f t="shared" si="4"/>
        <v>42.5</v>
      </c>
      <c r="B87" s="2">
        <v>2772.8980000000001</v>
      </c>
      <c r="C87" s="2">
        <v>10523.643</v>
      </c>
      <c r="D87" s="2">
        <v>10588.453</v>
      </c>
      <c r="E87" s="2">
        <v>9477.3420000000006</v>
      </c>
      <c r="F87" s="2">
        <f t="shared" si="13"/>
        <v>1340.5839999999989</v>
      </c>
      <c r="G87">
        <f t="shared" si="9"/>
        <v>81.262500000000728</v>
      </c>
      <c r="H87" s="2">
        <v>9109.73</v>
      </c>
      <c r="I87" s="3">
        <v>10718.723</v>
      </c>
      <c r="J87" s="2">
        <v>9135.027</v>
      </c>
      <c r="K87" s="2">
        <v>10794.031000000001</v>
      </c>
      <c r="L87" s="2">
        <f t="shared" si="14"/>
        <v>2939.3777500000015</v>
      </c>
      <c r="M87">
        <f t="shared" si="10"/>
        <v>66.188500000000204</v>
      </c>
      <c r="N87" s="2">
        <v>10849.429</v>
      </c>
      <c r="O87" s="2">
        <v>2019.4169999999999</v>
      </c>
      <c r="P87" s="2">
        <v>9033.58</v>
      </c>
      <c r="Q87" s="2">
        <v>9061.02</v>
      </c>
      <c r="R87" s="2">
        <f t="shared" si="15"/>
        <v>740.86149999999998</v>
      </c>
      <c r="S87">
        <f t="shared" si="11"/>
        <v>243.47899999999936</v>
      </c>
      <c r="T87" s="2">
        <v>10386.5</v>
      </c>
      <c r="U87" s="2">
        <v>10921.582</v>
      </c>
      <c r="V87" s="2">
        <v>9004.4060000000009</v>
      </c>
      <c r="W87" s="2">
        <v>10527.703</v>
      </c>
      <c r="X87" s="2">
        <f t="shared" si="16"/>
        <v>5559.6190000000024</v>
      </c>
      <c r="Y87" s="2"/>
      <c r="Z87" s="2"/>
      <c r="AA87" s="2"/>
      <c r="AB87" s="2"/>
      <c r="AC87" s="2"/>
      <c r="AD87" s="2">
        <f t="shared" si="12"/>
        <v>-730.88249999999971</v>
      </c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  <c r="BE87" s="2"/>
      <c r="BF87" s="2"/>
      <c r="BG87" s="2"/>
      <c r="BH87" s="2"/>
      <c r="BI87" s="2"/>
      <c r="BJ87" s="2"/>
      <c r="BK87" s="2"/>
      <c r="BL87" s="2"/>
      <c r="BM87" s="2"/>
      <c r="BN87" s="2"/>
      <c r="BO87" s="2"/>
      <c r="BP87" s="2"/>
      <c r="BQ87" s="1"/>
      <c r="BR87" s="1"/>
      <c r="BS87" s="1"/>
      <c r="BT87" s="2"/>
      <c r="BU87" s="2"/>
      <c r="BV87" s="2"/>
      <c r="BW87" s="2"/>
      <c r="BX87" s="2"/>
      <c r="BY87" s="2"/>
      <c r="BZ87" s="2"/>
      <c r="CA87" s="2"/>
      <c r="CB87" s="2"/>
      <c r="CC87" s="2"/>
      <c r="CD87" s="2"/>
      <c r="CE87" s="2"/>
    </row>
    <row r="88" spans="1:83" ht="14" x14ac:dyDescent="0.3">
      <c r="A88" s="2">
        <f t="shared" si="4"/>
        <v>43</v>
      </c>
      <c r="B88" s="2">
        <v>2769.8470000000002</v>
      </c>
      <c r="C88" s="2">
        <v>10525.316000000001</v>
      </c>
      <c r="D88" s="2">
        <v>10670.222</v>
      </c>
      <c r="E88" s="2">
        <v>9470.8369999999995</v>
      </c>
      <c r="F88" s="2">
        <f t="shared" si="13"/>
        <v>1359.0555000000004</v>
      </c>
      <c r="G88">
        <f t="shared" si="9"/>
        <v>10.142500000001746</v>
      </c>
      <c r="H88" s="2">
        <v>9180.616</v>
      </c>
      <c r="I88" s="2">
        <v>10310.912</v>
      </c>
      <c r="J88" s="2">
        <v>9125.8179999999993</v>
      </c>
      <c r="K88" s="2">
        <v>10784.334000000001</v>
      </c>
      <c r="L88" s="2">
        <f t="shared" si="14"/>
        <v>2850.42</v>
      </c>
      <c r="M88">
        <f t="shared" si="10"/>
        <v>-9.0805000000000291</v>
      </c>
      <c r="N88" s="2">
        <v>10835.519</v>
      </c>
      <c r="O88" s="2">
        <v>1836.9739999999999</v>
      </c>
      <c r="P88" s="2">
        <v>9026.4459999999999</v>
      </c>
      <c r="Q88" s="2">
        <v>9046.3410000000003</v>
      </c>
      <c r="R88" s="2">
        <f t="shared" si="15"/>
        <v>686.31999999999971</v>
      </c>
      <c r="S88">
        <f t="shared" si="11"/>
        <v>-125.96249999999964</v>
      </c>
      <c r="T88" s="2">
        <v>10372.75</v>
      </c>
      <c r="U88" s="2">
        <v>10967.24</v>
      </c>
      <c r="V88" s="2">
        <v>9147.2109999999993</v>
      </c>
      <c r="W88" s="2">
        <v>10524.745999999999</v>
      </c>
      <c r="X88" s="2">
        <f t="shared" si="16"/>
        <v>5650.4130000000005</v>
      </c>
      <c r="Y88" s="2"/>
      <c r="Z88" s="2"/>
      <c r="AA88" s="2"/>
      <c r="AB88" s="2"/>
      <c r="AC88" s="2"/>
      <c r="AD88" s="2">
        <f t="shared" si="12"/>
        <v>726.64250000000175</v>
      </c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  <c r="BE88" s="2"/>
      <c r="BF88" s="2"/>
      <c r="BG88" s="2"/>
      <c r="BH88" s="2"/>
      <c r="BI88" s="2"/>
      <c r="BJ88" s="2"/>
      <c r="BK88" s="2"/>
      <c r="BL88" s="2"/>
      <c r="BM88" s="2"/>
      <c r="BN88" s="2"/>
      <c r="BO88" s="2"/>
      <c r="BP88" s="2"/>
      <c r="BQ88" s="1"/>
      <c r="BR88" s="1"/>
      <c r="BS88" s="1"/>
      <c r="BT88" s="2"/>
      <c r="BU88" s="2"/>
      <c r="BV88" s="2"/>
      <c r="BW88" s="2"/>
      <c r="BX88" s="2"/>
      <c r="BY88" s="2"/>
      <c r="BZ88" s="2"/>
      <c r="CA88" s="2"/>
      <c r="CB88" s="2"/>
      <c r="CC88" s="2"/>
      <c r="CD88" s="2"/>
      <c r="CE88" s="2"/>
    </row>
    <row r="89" spans="1:83" ht="14" x14ac:dyDescent="0.3">
      <c r="A89" s="2">
        <f t="shared" si="4"/>
        <v>43.5</v>
      </c>
      <c r="B89" s="2">
        <v>2790.1089999999999</v>
      </c>
      <c r="C89" s="2">
        <v>10599.743</v>
      </c>
      <c r="D89" s="2">
        <v>10668.643</v>
      </c>
      <c r="E89" s="2">
        <v>9540.2520000000004</v>
      </c>
      <c r="F89" s="2">
        <f t="shared" si="13"/>
        <v>1399.6867500000008</v>
      </c>
      <c r="G89">
        <f t="shared" si="9"/>
        <v>-43.362000000004628</v>
      </c>
      <c r="H89" s="2">
        <v>9155.116</v>
      </c>
      <c r="I89" s="2">
        <v>10315.022000000001</v>
      </c>
      <c r="J89" s="2">
        <v>9198.8889999999992</v>
      </c>
      <c r="K89" s="2">
        <v>10865.03</v>
      </c>
      <c r="L89" s="2">
        <f t="shared" si="14"/>
        <v>2883.5142500000002</v>
      </c>
      <c r="M89">
        <f t="shared" si="10"/>
        <v>-2162.1205000000009</v>
      </c>
      <c r="N89" s="2">
        <v>10917.884</v>
      </c>
      <c r="O89" s="2">
        <v>2069.3620000000001</v>
      </c>
      <c r="P89" s="2">
        <v>9100.5400000000009</v>
      </c>
      <c r="Q89" s="2">
        <v>9144.4519999999993</v>
      </c>
      <c r="R89" s="2">
        <f t="shared" si="15"/>
        <v>808.05949999999939</v>
      </c>
      <c r="S89">
        <f t="shared" si="11"/>
        <v>26.751500000002125</v>
      </c>
      <c r="T89" s="2">
        <v>10520.870999999999</v>
      </c>
      <c r="U89" s="2">
        <v>10229.029</v>
      </c>
      <c r="V89" s="2">
        <v>9080.4789999999994</v>
      </c>
      <c r="W89" s="2">
        <v>10680.799000000001</v>
      </c>
      <c r="X89" s="2">
        <f t="shared" si="16"/>
        <v>5284.9717500000006</v>
      </c>
      <c r="Y89" s="2"/>
      <c r="Z89" s="2"/>
      <c r="AA89" s="2"/>
      <c r="AB89" s="2"/>
      <c r="AC89" s="2"/>
      <c r="AD89" s="2">
        <f t="shared" si="12"/>
        <v>-27.077000000004773</v>
      </c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  <c r="BE89" s="2"/>
      <c r="BF89" s="2"/>
      <c r="BG89" s="2"/>
      <c r="BH89" s="2"/>
      <c r="BI89" s="2"/>
      <c r="BJ89" s="2"/>
      <c r="BK89" s="2"/>
      <c r="BL89" s="2"/>
      <c r="BM89" s="2"/>
      <c r="BN89" s="2"/>
      <c r="BO89" s="3"/>
      <c r="BP89" s="2"/>
      <c r="BQ89" s="1"/>
      <c r="BR89" s="1"/>
      <c r="BS89" s="1"/>
      <c r="BT89" s="2"/>
      <c r="BU89" s="2"/>
      <c r="BV89" s="2"/>
      <c r="BW89" s="2"/>
      <c r="BX89" s="2"/>
      <c r="BY89" s="2"/>
      <c r="BZ89" s="2"/>
      <c r="CA89" s="2"/>
      <c r="CB89" s="2"/>
      <c r="CC89" s="2"/>
      <c r="CD89" s="2"/>
      <c r="CE89" s="2"/>
    </row>
    <row r="90" spans="1:83" ht="14" x14ac:dyDescent="0.3">
      <c r="A90" s="2">
        <f t="shared" si="4"/>
        <v>44</v>
      </c>
      <c r="B90" s="2">
        <v>2805.886</v>
      </c>
      <c r="C90" s="2">
        <v>10603.505999999999</v>
      </c>
      <c r="D90" s="2">
        <v>10643.529</v>
      </c>
      <c r="E90" s="2">
        <v>9566.1110000000008</v>
      </c>
      <c r="F90" s="2">
        <f t="shared" si="13"/>
        <v>1404.7580000000016</v>
      </c>
      <c r="G90">
        <f t="shared" si="9"/>
        <v>-223.02999999999884</v>
      </c>
      <c r="H90" s="2">
        <v>9168.8119999999999</v>
      </c>
      <c r="I90" s="2">
        <v>10285.441000000001</v>
      </c>
      <c r="J90" s="2">
        <v>9199.3909999999996</v>
      </c>
      <c r="K90" s="2">
        <v>10862.252</v>
      </c>
      <c r="L90" s="2">
        <f t="shared" si="14"/>
        <v>2878.9740000000002</v>
      </c>
      <c r="M90">
        <f t="shared" si="10"/>
        <v>-929.64849999999933</v>
      </c>
      <c r="N90" s="2">
        <v>10914.64</v>
      </c>
      <c r="O90" s="2">
        <v>1833.1310000000001</v>
      </c>
      <c r="P90" s="2">
        <v>9095.3089999999993</v>
      </c>
      <c r="Q90" s="2">
        <v>9137.2330000000002</v>
      </c>
      <c r="R90" s="2">
        <f t="shared" si="15"/>
        <v>745.07824999999957</v>
      </c>
      <c r="S90">
        <f t="shared" si="11"/>
        <v>-71.364500000001499</v>
      </c>
      <c r="T90" s="2">
        <v>10463.664000000001</v>
      </c>
      <c r="U90" s="2">
        <v>10999.977000000001</v>
      </c>
      <c r="V90" s="2">
        <v>9064.777</v>
      </c>
      <c r="W90" s="2">
        <v>10607.023999999999</v>
      </c>
      <c r="X90" s="2">
        <f t="shared" si="16"/>
        <v>5648.2930000000015</v>
      </c>
      <c r="Y90" s="2"/>
      <c r="Z90" s="2"/>
      <c r="AA90" s="2"/>
      <c r="AB90" s="2"/>
      <c r="AC90" s="2"/>
      <c r="AD90" s="2">
        <f t="shared" si="12"/>
        <v>-142.69249999999738</v>
      </c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  <c r="BE90" s="2"/>
      <c r="BF90" s="2"/>
      <c r="BG90" s="2"/>
      <c r="BH90" s="2"/>
      <c r="BI90" s="2"/>
      <c r="BJ90" s="2"/>
      <c r="BK90" s="2"/>
      <c r="BL90" s="2"/>
      <c r="BM90" s="2"/>
      <c r="BN90" s="2"/>
      <c r="BO90" s="2"/>
      <c r="BP90" s="2"/>
      <c r="BQ90" s="1"/>
      <c r="BR90" s="1"/>
      <c r="BS90" s="1"/>
      <c r="BT90" s="2"/>
      <c r="BU90" s="2"/>
      <c r="BV90" s="2"/>
      <c r="BW90" s="2"/>
      <c r="BX90" s="2"/>
      <c r="BY90" s="2"/>
      <c r="BZ90" s="2"/>
      <c r="CA90" s="2"/>
      <c r="CB90" s="2"/>
      <c r="CC90" s="2"/>
      <c r="CD90" s="2"/>
      <c r="CE90" s="2"/>
    </row>
    <row r="91" spans="1:83" ht="14" x14ac:dyDescent="0.3">
      <c r="A91" s="2">
        <f t="shared" si="4"/>
        <v>44.5</v>
      </c>
      <c r="B91" s="2">
        <v>2782.2049999999999</v>
      </c>
      <c r="C91" s="2">
        <v>10575.700999999999</v>
      </c>
      <c r="D91" s="2">
        <v>10655.482</v>
      </c>
      <c r="E91" s="2">
        <v>9518.92</v>
      </c>
      <c r="F91" s="2">
        <f t="shared" si="13"/>
        <v>1383.0769999999993</v>
      </c>
      <c r="G91">
        <f t="shared" si="9"/>
        <v>-3670.8599999999997</v>
      </c>
      <c r="H91" s="2">
        <v>4878.3879999999999</v>
      </c>
      <c r="I91" s="2">
        <v>10304.324000000001</v>
      </c>
      <c r="J91" s="2">
        <v>9176.8880000000008</v>
      </c>
      <c r="K91" s="2">
        <v>10832.055</v>
      </c>
      <c r="L91" s="2">
        <f t="shared" si="14"/>
        <v>1797.9137499999997</v>
      </c>
      <c r="M91">
        <f t="shared" si="10"/>
        <v>-3873.2609999999995</v>
      </c>
      <c r="N91" s="2">
        <v>10888.89</v>
      </c>
      <c r="O91" s="2">
        <v>1969.6120000000001</v>
      </c>
      <c r="P91" s="2">
        <v>9073.991</v>
      </c>
      <c r="Q91" s="2">
        <v>9101.3230000000003</v>
      </c>
      <c r="R91" s="2">
        <f t="shared" si="15"/>
        <v>758.45400000000063</v>
      </c>
      <c r="S91">
        <f t="shared" si="11"/>
        <v>-1637.826</v>
      </c>
      <c r="T91" s="2">
        <v>10431.245999999999</v>
      </c>
      <c r="U91" s="2">
        <v>10967.938</v>
      </c>
      <c r="V91" s="2">
        <v>9085.9480000000003</v>
      </c>
      <c r="W91" s="2">
        <v>10584.663</v>
      </c>
      <c r="X91" s="2">
        <f t="shared" si="16"/>
        <v>5634.7544999999991</v>
      </c>
      <c r="Y91" s="2"/>
      <c r="Z91" s="2"/>
      <c r="AA91" s="2"/>
      <c r="AB91" s="2"/>
      <c r="AC91" s="2"/>
      <c r="AD91" s="2">
        <f t="shared" si="12"/>
        <v>-11365.894500000002</v>
      </c>
      <c r="AE91" s="2"/>
      <c r="AF91" s="2"/>
      <c r="AG91" s="2"/>
      <c r="AH91" s="2"/>
      <c r="AI91" s="2"/>
      <c r="AJ91" s="2"/>
      <c r="AK91" s="3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  <c r="BE91" s="2"/>
      <c r="BF91" s="2"/>
      <c r="BG91" s="2"/>
      <c r="BH91" s="2"/>
      <c r="BI91" s="2"/>
      <c r="BJ91" s="2"/>
      <c r="BK91" s="3"/>
      <c r="BL91" s="2"/>
      <c r="BM91" s="2"/>
      <c r="BN91" s="2"/>
      <c r="BO91" s="2"/>
      <c r="BP91" s="2"/>
      <c r="BQ91" s="1"/>
      <c r="BR91" s="1"/>
      <c r="BS91" s="1"/>
      <c r="BT91" s="2"/>
      <c r="BU91" s="2"/>
      <c r="BV91" s="2"/>
      <c r="BW91" s="2"/>
      <c r="BX91" s="2"/>
      <c r="BY91" s="2"/>
      <c r="BZ91" s="2"/>
      <c r="CA91" s="2"/>
      <c r="CB91" s="2"/>
      <c r="CC91" s="2"/>
      <c r="CD91" s="2"/>
      <c r="CE91" s="2"/>
    </row>
    <row r="92" spans="1:83" ht="14" x14ac:dyDescent="0.3">
      <c r="A92" s="4">
        <f t="shared" si="4"/>
        <v>45</v>
      </c>
      <c r="B92" s="4">
        <v>2786.36</v>
      </c>
      <c r="C92" s="4">
        <v>10589.832</v>
      </c>
      <c r="D92" s="4">
        <v>10172.478999999999</v>
      </c>
      <c r="E92" s="4">
        <v>9537.5769999999993</v>
      </c>
      <c r="F92" s="2">
        <f t="shared" si="13"/>
        <v>1271.5619999999999</v>
      </c>
      <c r="G92">
        <f t="shared" si="9"/>
        <v>-110.76049999999987</v>
      </c>
      <c r="H92" s="5">
        <v>3765.4520000000002</v>
      </c>
      <c r="I92" s="4">
        <v>9525.6589999999997</v>
      </c>
      <c r="J92" s="4">
        <v>9195.8259999999991</v>
      </c>
      <c r="K92" s="4">
        <v>10845.421</v>
      </c>
      <c r="L92" s="2">
        <f t="shared" si="14"/>
        <v>1333.0895</v>
      </c>
      <c r="M92">
        <f t="shared" si="10"/>
        <v>-38.781000000000859</v>
      </c>
      <c r="N92" s="4">
        <v>10908.671</v>
      </c>
      <c r="O92" s="4">
        <v>1780.8789999999999</v>
      </c>
      <c r="P92" s="4">
        <v>9093.8670000000002</v>
      </c>
      <c r="Q92" s="4">
        <v>9107.67</v>
      </c>
      <c r="R92" s="2">
        <f t="shared" si="15"/>
        <v>722.77174999999988</v>
      </c>
      <c r="S92">
        <f t="shared" si="11"/>
        <v>-53.672000000000025</v>
      </c>
      <c r="T92" s="4">
        <v>10455.503000000001</v>
      </c>
      <c r="U92" s="4">
        <v>10994.769</v>
      </c>
      <c r="V92" s="4">
        <v>8904.2960000000003</v>
      </c>
      <c r="W92" s="4">
        <v>10611.398999999999</v>
      </c>
      <c r="X92" s="2">
        <f t="shared" si="16"/>
        <v>5563.4082500000004</v>
      </c>
      <c r="Y92" s="4"/>
      <c r="Z92" s="4"/>
      <c r="AA92" s="4"/>
      <c r="AB92" s="4"/>
      <c r="AC92" s="4"/>
      <c r="AD92" s="2">
        <f t="shared" si="12"/>
        <v>-98.233499999999822</v>
      </c>
      <c r="AE92" s="4"/>
      <c r="AF92" s="4"/>
      <c r="AG92" s="4"/>
      <c r="AH92" s="4"/>
      <c r="AI92" s="4"/>
      <c r="AJ92" s="4"/>
      <c r="AK92" s="4"/>
      <c r="AL92" s="4"/>
      <c r="AM92" s="4"/>
      <c r="AN92" s="4"/>
      <c r="AO92" s="4"/>
      <c r="AP92" s="4"/>
      <c r="AQ92" s="4"/>
      <c r="AR92" s="4"/>
      <c r="AS92" s="4"/>
      <c r="AT92" s="4"/>
      <c r="AU92" s="4"/>
      <c r="AV92" s="4"/>
      <c r="AW92" s="4"/>
      <c r="AX92" s="4"/>
      <c r="AY92" s="4"/>
      <c r="AZ92" s="4"/>
      <c r="BA92" s="4"/>
      <c r="BB92" s="4"/>
      <c r="BC92" s="4"/>
      <c r="BD92" s="4"/>
      <c r="BE92" s="4"/>
      <c r="BF92" s="4"/>
      <c r="BG92" s="4"/>
      <c r="BH92" s="4"/>
      <c r="BI92" s="4"/>
      <c r="BJ92" s="4"/>
      <c r="BK92" s="4"/>
      <c r="BL92" s="4"/>
      <c r="BM92" s="4"/>
      <c r="BN92" s="4"/>
      <c r="BO92" s="4"/>
      <c r="BP92" s="4"/>
      <c r="BQ92" s="5"/>
      <c r="BR92" s="5"/>
      <c r="BS92" s="5"/>
      <c r="BT92" s="4"/>
      <c r="BU92" s="5"/>
      <c r="BV92" s="5"/>
      <c r="BW92" s="5"/>
      <c r="BX92" s="5"/>
      <c r="BY92" s="5"/>
      <c r="BZ92" s="4"/>
      <c r="CA92" s="4"/>
      <c r="CB92" s="4"/>
      <c r="CC92" s="4"/>
      <c r="CD92" s="5"/>
      <c r="CE92" s="5"/>
    </row>
    <row r="93" spans="1:83" ht="14" x14ac:dyDescent="0.3">
      <c r="A93" s="2">
        <f t="shared" si="4"/>
        <v>45.5</v>
      </c>
      <c r="B93" s="2">
        <v>1476.223</v>
      </c>
      <c r="C93" s="2">
        <v>1405.7950000000001</v>
      </c>
      <c r="D93" s="2">
        <v>1156.308</v>
      </c>
      <c r="E93" s="2">
        <v>1706.202</v>
      </c>
      <c r="F93" s="2">
        <f t="shared" ref="F93:F257" si="17">((B93+C93+D93+E93)/4)-2000</f>
        <v>-563.86799999999994</v>
      </c>
      <c r="G93">
        <f t="shared" ref="G93:G130" si="18">(F95-F94)/(A95-A94)</f>
        <v>-74.812500000000455</v>
      </c>
      <c r="H93" s="1">
        <v>1354.4380000000001</v>
      </c>
      <c r="I93" s="1">
        <v>1273.8810000000001</v>
      </c>
      <c r="J93" s="1">
        <v>1774.162</v>
      </c>
      <c r="K93" s="1">
        <v>1183.355</v>
      </c>
      <c r="L93" s="2">
        <f t="shared" ref="L93:L130" si="19">((H93+I93+J93+K93)/4)-2000</f>
        <v>-603.54099999999971</v>
      </c>
      <c r="M93">
        <f t="shared" ref="M93:M130" si="20">(L95-L94)/(A95-A94)</f>
        <v>-72.453999999999724</v>
      </c>
      <c r="N93" s="1">
        <v>2892.7109999999998</v>
      </c>
      <c r="O93" s="1">
        <v>1446.6130000000001</v>
      </c>
      <c r="P93" s="1">
        <v>2162.2950000000001</v>
      </c>
      <c r="Q93" s="1">
        <v>1113.816</v>
      </c>
      <c r="R93" s="2">
        <f t="shared" ref="R93:R257" si="21">((N93+O93+P93+Q93)/4)-2000</f>
        <v>-96.141250000000127</v>
      </c>
      <c r="S93">
        <f t="shared" ref="S93:S130" si="22">(R95-R94)/(A95-A94)</f>
        <v>-68.755999999999403</v>
      </c>
      <c r="T93" s="1">
        <v>1889.8520000000001</v>
      </c>
      <c r="U93" s="1">
        <v>1237.5609999999999</v>
      </c>
      <c r="V93" s="1">
        <v>1578.4349999999999</v>
      </c>
      <c r="W93" s="1">
        <v>1383.049</v>
      </c>
      <c r="X93" s="2">
        <f t="shared" ref="X93:X257" si="23">((T93+U93+V93+U93+V93)/4)-2000</f>
        <v>-119.53900000000021</v>
      </c>
      <c r="Y93" s="6"/>
      <c r="Z93" s="7"/>
      <c r="AB93" s="6"/>
      <c r="AC93" s="8"/>
      <c r="AD93" s="2">
        <f t="shared" ref="AD93:AD131" si="24">(X95-X94)/(A95-A94)</f>
        <v>-117.52599999999984</v>
      </c>
      <c r="AE93" s="2"/>
      <c r="AF93" s="2"/>
      <c r="AG93" s="2"/>
      <c r="AH93" s="2"/>
      <c r="AI93" s="2"/>
      <c r="AJ93" s="6"/>
      <c r="AK93" s="6"/>
      <c r="AL93" s="6"/>
      <c r="AM93" s="6"/>
      <c r="AN93" s="6"/>
      <c r="AO93" s="6"/>
      <c r="AP93" s="6"/>
      <c r="AQ93" s="8"/>
      <c r="AR93" s="6"/>
      <c r="AS93" s="6"/>
      <c r="AT93" s="6"/>
      <c r="AU93" s="6"/>
      <c r="AV93" s="7"/>
      <c r="AW93" s="7"/>
      <c r="AX93" s="7"/>
      <c r="AY93" s="7"/>
      <c r="AZ93" s="7"/>
      <c r="BA93" s="7"/>
      <c r="BB93" s="9"/>
      <c r="BC93" s="6"/>
      <c r="BD93" s="6"/>
      <c r="BE93" s="6"/>
      <c r="BF93" s="9"/>
      <c r="BG93" s="6"/>
      <c r="BH93" s="6"/>
      <c r="BI93" s="6"/>
      <c r="BJ93" s="6"/>
      <c r="BK93" s="6"/>
      <c r="BL93" s="6"/>
      <c r="BM93" s="6"/>
      <c r="BN93" s="6"/>
      <c r="BO93" s="6"/>
      <c r="BP93" s="6"/>
      <c r="BQ93" s="6"/>
      <c r="BR93" s="6"/>
      <c r="BS93" s="6"/>
      <c r="BT93" s="8"/>
      <c r="BU93" s="6"/>
      <c r="BV93" s="6"/>
      <c r="BW93" s="6"/>
      <c r="BX93" s="8"/>
      <c r="BY93" s="6"/>
      <c r="BZ93" s="7"/>
      <c r="CA93" s="7"/>
      <c r="CB93" s="7"/>
      <c r="CC93" s="7"/>
      <c r="CD93" s="7"/>
      <c r="CE93" s="7"/>
    </row>
    <row r="94" spans="1:83" ht="14" x14ac:dyDescent="0.3">
      <c r="A94" s="2">
        <f t="shared" si="4"/>
        <v>46</v>
      </c>
      <c r="B94" s="2">
        <v>1432.673</v>
      </c>
      <c r="C94" s="2">
        <v>1335.0250000000001</v>
      </c>
      <c r="D94" s="2">
        <v>1100.336</v>
      </c>
      <c r="E94" s="2">
        <v>1654.973</v>
      </c>
      <c r="F94" s="2">
        <f t="shared" si="17"/>
        <v>-619.24824999999987</v>
      </c>
      <c r="G94">
        <f t="shared" si="18"/>
        <v>-46.899499999999989</v>
      </c>
      <c r="H94" s="1">
        <v>1318.89</v>
      </c>
      <c r="I94" s="1">
        <v>1250.98</v>
      </c>
      <c r="J94" s="1">
        <v>1758.893</v>
      </c>
      <c r="K94" s="1">
        <v>1179.511</v>
      </c>
      <c r="L94" s="2">
        <f t="shared" si="19"/>
        <v>-622.93150000000014</v>
      </c>
      <c r="M94">
        <f t="shared" si="20"/>
        <v>-40.538500000000113</v>
      </c>
      <c r="N94" s="1">
        <v>2915.8649999999998</v>
      </c>
      <c r="O94" s="1">
        <v>1406.2750000000001</v>
      </c>
      <c r="P94" s="1">
        <v>2112.6329999999998</v>
      </c>
      <c r="Q94" s="1">
        <v>1073.318</v>
      </c>
      <c r="R94" s="2">
        <f t="shared" si="21"/>
        <v>-122.97725000000014</v>
      </c>
      <c r="S94">
        <f t="shared" si="22"/>
        <v>-54.353500000000622</v>
      </c>
      <c r="T94" s="1">
        <v>1835.777</v>
      </c>
      <c r="U94" s="1">
        <v>1189.502</v>
      </c>
      <c r="V94" s="1">
        <v>1555.298</v>
      </c>
      <c r="W94" s="1">
        <v>1347.396</v>
      </c>
      <c r="X94" s="2">
        <f t="shared" si="23"/>
        <v>-168.65575000000013</v>
      </c>
      <c r="Y94" s="6"/>
      <c r="Z94" s="7"/>
      <c r="AB94" s="6"/>
      <c r="AC94" s="8"/>
      <c r="AD94" s="2">
        <f t="shared" si="24"/>
        <v>-88.672499999999673</v>
      </c>
      <c r="AE94" s="2"/>
      <c r="AF94" s="2"/>
      <c r="AG94" s="2"/>
      <c r="AH94" s="2"/>
      <c r="AI94" s="2"/>
      <c r="AJ94" s="6"/>
      <c r="AK94" s="6"/>
      <c r="AL94" s="6"/>
      <c r="AM94" s="6"/>
      <c r="AN94" s="6"/>
      <c r="AO94" s="6"/>
      <c r="AP94" s="6"/>
      <c r="AQ94" s="8"/>
      <c r="AR94" s="6"/>
      <c r="AS94" s="6"/>
      <c r="AT94" s="6"/>
      <c r="AU94" s="6"/>
      <c r="AV94" s="7"/>
      <c r="AW94" s="7"/>
      <c r="AX94" s="7"/>
      <c r="AY94" s="7"/>
      <c r="AZ94" s="7"/>
      <c r="BA94" s="7"/>
      <c r="BB94" s="6"/>
      <c r="BC94" s="6"/>
      <c r="BD94" s="6"/>
      <c r="BE94" s="6"/>
      <c r="BF94" s="6"/>
      <c r="BG94" s="6"/>
      <c r="BH94" s="6"/>
      <c r="BI94" s="6"/>
      <c r="BJ94" s="6"/>
      <c r="BK94" s="6"/>
      <c r="BL94" s="6"/>
      <c r="BM94" s="6"/>
      <c r="BN94" s="6"/>
      <c r="BO94" s="6"/>
      <c r="BP94" s="6"/>
      <c r="BQ94" s="6"/>
      <c r="BR94" s="6"/>
      <c r="BS94" s="9"/>
      <c r="BT94" s="8"/>
      <c r="BU94" s="6"/>
      <c r="BV94" s="6"/>
      <c r="BW94" s="6"/>
      <c r="BX94" s="8"/>
      <c r="BY94" s="6"/>
      <c r="BZ94" s="7"/>
      <c r="CA94" s="7"/>
      <c r="CB94" s="7"/>
      <c r="CC94" s="7"/>
      <c r="CD94" s="7"/>
      <c r="CE94" s="7"/>
    </row>
    <row r="95" spans="1:83" ht="14" x14ac:dyDescent="0.3">
      <c r="A95" s="2">
        <f t="shared" si="4"/>
        <v>46.5</v>
      </c>
      <c r="B95" s="2">
        <v>1396.827</v>
      </c>
      <c r="C95" s="2">
        <v>1295.894</v>
      </c>
      <c r="D95" s="2">
        <v>1068.077</v>
      </c>
      <c r="E95" s="2">
        <v>1612.5840000000001</v>
      </c>
      <c r="F95" s="2">
        <f t="shared" si="17"/>
        <v>-656.6545000000001</v>
      </c>
      <c r="G95">
        <f t="shared" si="18"/>
        <v>-49.929499999999734</v>
      </c>
      <c r="H95" s="1">
        <v>1288.2449999999999</v>
      </c>
      <c r="I95" s="1">
        <v>1217.461</v>
      </c>
      <c r="J95" s="1">
        <v>1716.7449999999999</v>
      </c>
      <c r="K95" s="1">
        <v>1140.915</v>
      </c>
      <c r="L95" s="2">
        <f t="shared" si="19"/>
        <v>-659.1585</v>
      </c>
      <c r="M95">
        <f t="shared" si="20"/>
        <v>-47.010999999999967</v>
      </c>
      <c r="N95" s="1">
        <v>2886.7049999999999</v>
      </c>
      <c r="O95" s="1">
        <v>1371.5730000000001</v>
      </c>
      <c r="P95" s="1">
        <v>2070.8960000000002</v>
      </c>
      <c r="Q95" s="1">
        <v>1041.405</v>
      </c>
      <c r="R95" s="2">
        <f t="shared" si="21"/>
        <v>-157.35524999999984</v>
      </c>
      <c r="S95">
        <f t="shared" si="22"/>
        <v>-57.195999999999458</v>
      </c>
      <c r="T95" s="1">
        <v>1783.0409999999999</v>
      </c>
      <c r="U95" s="1">
        <v>1143.759</v>
      </c>
      <c r="V95" s="1">
        <v>1509.883</v>
      </c>
      <c r="W95" s="1">
        <v>1307.0450000000001</v>
      </c>
      <c r="X95" s="2">
        <f t="shared" si="23"/>
        <v>-227.41875000000005</v>
      </c>
      <c r="Y95" s="6"/>
      <c r="Z95" s="7"/>
      <c r="AB95" s="6"/>
      <c r="AC95" s="8"/>
      <c r="AD95" s="2">
        <f t="shared" si="24"/>
        <v>-65.111000000000331</v>
      </c>
      <c r="AE95" s="2"/>
      <c r="AF95" s="2"/>
      <c r="AG95" s="2"/>
      <c r="AH95" s="2"/>
      <c r="AI95" s="2"/>
      <c r="AJ95" s="6"/>
      <c r="AK95" s="6"/>
      <c r="AL95" s="6"/>
      <c r="AM95" s="6"/>
      <c r="AN95" s="6"/>
      <c r="AO95" s="6"/>
      <c r="AP95" s="6"/>
      <c r="AQ95" s="8"/>
      <c r="AR95" s="6"/>
      <c r="AS95" s="6"/>
      <c r="AT95" s="6"/>
      <c r="AU95" s="6"/>
      <c r="AV95" s="7"/>
      <c r="AW95" s="7"/>
      <c r="AX95" s="7"/>
      <c r="AY95" s="7"/>
      <c r="AZ95" s="7"/>
      <c r="BA95" s="7"/>
      <c r="BB95" s="6"/>
      <c r="BC95" s="6"/>
      <c r="BD95" s="6"/>
      <c r="BE95" s="6"/>
      <c r="BF95" s="6"/>
      <c r="BG95" s="6"/>
      <c r="BH95" s="6"/>
      <c r="BI95" s="6"/>
      <c r="BJ95" s="6"/>
      <c r="BK95" s="6"/>
      <c r="BL95" s="6"/>
      <c r="BM95" s="6"/>
      <c r="BN95" s="6"/>
      <c r="BO95" s="6"/>
      <c r="BP95" s="6"/>
      <c r="BQ95" s="6"/>
      <c r="BR95" s="6"/>
      <c r="BS95" s="6"/>
      <c r="BT95" s="8"/>
      <c r="BU95" s="6"/>
      <c r="BV95" s="6"/>
      <c r="BW95" s="6"/>
      <c r="BX95" s="8"/>
      <c r="BY95" s="6"/>
      <c r="BZ95" s="7"/>
      <c r="CA95" s="7"/>
      <c r="CB95" s="7"/>
      <c r="CC95" s="7"/>
      <c r="CD95" s="7"/>
      <c r="CE95" s="7"/>
    </row>
    <row r="96" spans="1:83" ht="14" x14ac:dyDescent="0.3">
      <c r="A96" s="2">
        <f t="shared" si="4"/>
        <v>47</v>
      </c>
      <c r="B96" s="2">
        <v>1371.6690000000001</v>
      </c>
      <c r="C96" s="2">
        <v>1275.1780000000001</v>
      </c>
      <c r="D96" s="2">
        <v>1048.4739999999999</v>
      </c>
      <c r="E96" s="2">
        <v>1584.2619999999999</v>
      </c>
      <c r="F96" s="2">
        <f t="shared" si="17"/>
        <v>-680.10425000000009</v>
      </c>
      <c r="G96">
        <f t="shared" si="18"/>
        <v>-45.40099999999984</v>
      </c>
      <c r="H96" s="1">
        <v>1268.914</v>
      </c>
      <c r="I96" s="1">
        <v>1195.482</v>
      </c>
      <c r="J96" s="1">
        <v>1691.048</v>
      </c>
      <c r="K96" s="1">
        <v>1126.845</v>
      </c>
      <c r="L96" s="2">
        <f t="shared" si="19"/>
        <v>-679.42775000000006</v>
      </c>
      <c r="M96">
        <f t="shared" si="20"/>
        <v>-43.27599999999984</v>
      </c>
      <c r="N96" s="1">
        <v>2856.0590000000002</v>
      </c>
      <c r="O96" s="1">
        <v>1347.5440000000001</v>
      </c>
      <c r="P96" s="1">
        <v>2044.9179999999999</v>
      </c>
      <c r="Q96" s="1">
        <v>1013.351</v>
      </c>
      <c r="R96" s="2">
        <f t="shared" si="21"/>
        <v>-184.53200000000015</v>
      </c>
      <c r="S96">
        <f t="shared" si="22"/>
        <v>-52.814500000000407</v>
      </c>
      <c r="T96" s="1">
        <v>1741.884</v>
      </c>
      <c r="U96" s="1">
        <v>1112.2570000000001</v>
      </c>
      <c r="V96" s="1">
        <v>1473.2909999999999</v>
      </c>
      <c r="W96" s="1">
        <v>1274.5070000000001</v>
      </c>
      <c r="X96" s="2">
        <f t="shared" si="23"/>
        <v>-271.75499999999988</v>
      </c>
      <c r="Y96" s="6"/>
      <c r="Z96" s="7"/>
      <c r="AB96" s="6"/>
      <c r="AC96" s="8"/>
      <c r="AD96" s="2">
        <f t="shared" si="24"/>
        <v>-67.450500000000375</v>
      </c>
      <c r="AE96" s="2"/>
      <c r="AF96" s="2"/>
      <c r="AG96" s="2"/>
      <c r="AH96" s="2"/>
      <c r="AI96" s="2"/>
      <c r="AJ96" s="6"/>
      <c r="AK96" s="6"/>
      <c r="AL96" s="6"/>
      <c r="AM96" s="6"/>
      <c r="AN96" s="6"/>
      <c r="AO96" s="6"/>
      <c r="AP96" s="6"/>
      <c r="AQ96" s="8"/>
      <c r="AR96" s="6"/>
      <c r="AS96" s="6"/>
      <c r="AT96" s="6"/>
      <c r="AU96" s="6"/>
      <c r="AV96" s="7"/>
      <c r="AW96" s="7"/>
      <c r="AX96" s="7"/>
      <c r="AY96" s="7"/>
      <c r="AZ96" s="7"/>
      <c r="BA96" s="7"/>
      <c r="BB96" s="6"/>
      <c r="BC96" s="6"/>
      <c r="BD96" s="6"/>
      <c r="BE96" s="6"/>
      <c r="BF96" s="6"/>
      <c r="BG96" s="6"/>
      <c r="BH96" s="6"/>
      <c r="BI96" s="6"/>
      <c r="BJ96" s="6"/>
      <c r="BK96" s="6"/>
      <c r="BL96" s="6"/>
      <c r="BM96" s="6"/>
      <c r="BN96" s="6"/>
      <c r="BO96" s="6"/>
      <c r="BP96" s="6"/>
      <c r="BQ96" s="6"/>
      <c r="BR96" s="6"/>
      <c r="BS96" s="6"/>
      <c r="BT96" s="8"/>
      <c r="BU96" s="6"/>
      <c r="BV96" s="6"/>
      <c r="BW96" s="6"/>
      <c r="BX96" s="8"/>
      <c r="BY96" s="6"/>
      <c r="BZ96" s="7"/>
      <c r="CA96" s="7"/>
      <c r="CB96" s="7"/>
      <c r="CC96" s="7"/>
      <c r="CD96" s="7"/>
      <c r="CE96" s="7"/>
    </row>
    <row r="97" spans="1:83" ht="14" x14ac:dyDescent="0.3">
      <c r="A97" s="2">
        <f t="shared" si="4"/>
        <v>47.5</v>
      </c>
      <c r="B97" s="2">
        <v>1346.444</v>
      </c>
      <c r="C97" s="2">
        <v>1250.5840000000001</v>
      </c>
      <c r="D97" s="2">
        <v>1024.1089999999999</v>
      </c>
      <c r="E97" s="2">
        <v>1558.587</v>
      </c>
      <c r="F97" s="2">
        <f t="shared" si="17"/>
        <v>-705.06899999999996</v>
      </c>
      <c r="G97">
        <f t="shared" si="18"/>
        <v>-48.722499999999854</v>
      </c>
      <c r="H97" s="1">
        <v>1242.675</v>
      </c>
      <c r="I97" s="1">
        <v>1177.1179999999999</v>
      </c>
      <c r="J97" s="10">
        <v>1665.1110000000001</v>
      </c>
      <c r="K97" s="1">
        <v>1103.3630000000001</v>
      </c>
      <c r="L97" s="2">
        <f t="shared" si="19"/>
        <v>-702.93325000000004</v>
      </c>
      <c r="M97">
        <f t="shared" si="20"/>
        <v>-41.863499999999931</v>
      </c>
      <c r="N97" s="1">
        <v>2829.288</v>
      </c>
      <c r="O97" s="1">
        <v>1319.655</v>
      </c>
      <c r="P97" s="1">
        <v>2014.5820000000001</v>
      </c>
      <c r="Q97" s="1">
        <v>983.95500000000004</v>
      </c>
      <c r="R97" s="2">
        <f t="shared" si="21"/>
        <v>-213.12999999999988</v>
      </c>
      <c r="S97">
        <f t="shared" si="22"/>
        <v>-46.352499999999509</v>
      </c>
      <c r="T97" s="1">
        <v>1715.6</v>
      </c>
      <c r="U97" s="1">
        <v>1087.0319999999999</v>
      </c>
      <c r="V97" s="1">
        <v>1446.547</v>
      </c>
      <c r="W97" s="1">
        <v>1250.953</v>
      </c>
      <c r="X97" s="2">
        <f t="shared" si="23"/>
        <v>-304.31050000000005</v>
      </c>
      <c r="Y97" s="6"/>
      <c r="Z97" s="7"/>
      <c r="AB97" s="6"/>
      <c r="AC97" s="8"/>
      <c r="AD97" s="2">
        <f t="shared" si="24"/>
        <v>-52.195499999999356</v>
      </c>
      <c r="AE97" s="2"/>
      <c r="AF97" s="2"/>
      <c r="AG97" s="2"/>
      <c r="AH97" s="2"/>
      <c r="AI97" s="2"/>
      <c r="AJ97" s="6"/>
      <c r="AK97" s="6"/>
      <c r="AL97" s="6"/>
      <c r="AM97" s="6"/>
      <c r="AN97" s="6"/>
      <c r="AO97" s="6"/>
      <c r="AP97" s="6"/>
      <c r="AQ97" s="8"/>
      <c r="AR97" s="6"/>
      <c r="AS97" s="6"/>
      <c r="AT97" s="6"/>
      <c r="AU97" s="6"/>
      <c r="AV97" s="7"/>
      <c r="AW97" s="7"/>
      <c r="AX97" s="7"/>
      <c r="AY97" s="7"/>
      <c r="AZ97" s="7"/>
      <c r="BA97" s="7"/>
      <c r="BB97" s="6"/>
      <c r="BC97" s="6"/>
      <c r="BD97" s="6"/>
      <c r="BE97" s="6"/>
      <c r="BF97" s="6"/>
      <c r="BG97" s="6"/>
      <c r="BH97" s="6"/>
      <c r="BI97" s="6"/>
      <c r="BJ97" s="6"/>
      <c r="BK97" s="6"/>
      <c r="BL97" s="6"/>
      <c r="BM97" s="6"/>
      <c r="BN97" s="6"/>
      <c r="BO97" s="6"/>
      <c r="BP97" s="6"/>
      <c r="BQ97" s="6"/>
      <c r="BR97" s="6"/>
      <c r="BS97" s="6"/>
      <c r="BT97" s="8"/>
      <c r="BU97" s="6"/>
      <c r="BV97" s="6"/>
      <c r="BW97" s="6"/>
      <c r="BX97" s="8"/>
      <c r="BY97" s="6"/>
      <c r="BZ97" s="7"/>
      <c r="CA97" s="7"/>
      <c r="CB97" s="7"/>
      <c r="CC97" s="7"/>
      <c r="CD97" s="7"/>
      <c r="CE97" s="7"/>
    </row>
    <row r="98" spans="1:83" ht="14" x14ac:dyDescent="0.3">
      <c r="A98" s="2">
        <f t="shared" si="4"/>
        <v>48</v>
      </c>
      <c r="B98" s="2">
        <v>1323.329</v>
      </c>
      <c r="C98" s="2">
        <v>1227.626</v>
      </c>
      <c r="D98" s="2">
        <v>1003.827</v>
      </c>
      <c r="E98" s="2">
        <v>1534.14</v>
      </c>
      <c r="F98" s="2">
        <f t="shared" si="17"/>
        <v>-727.76949999999988</v>
      </c>
      <c r="G98">
        <f t="shared" si="18"/>
        <v>-46.192500000000564</v>
      </c>
      <c r="H98" s="1">
        <v>1221.2339999999999</v>
      </c>
      <c r="I98" s="1">
        <v>1155.9849999999999</v>
      </c>
      <c r="J98" s="1">
        <v>1637.7159999999999</v>
      </c>
      <c r="K98" s="1">
        <v>1086.78</v>
      </c>
      <c r="L98" s="2">
        <f t="shared" si="19"/>
        <v>-724.57124999999996</v>
      </c>
      <c r="M98">
        <f t="shared" si="20"/>
        <v>-37.832000000000335</v>
      </c>
      <c r="N98" s="1">
        <v>2797.922</v>
      </c>
      <c r="O98" s="1">
        <v>1298.1690000000001</v>
      </c>
      <c r="P98" s="1">
        <v>1985.203</v>
      </c>
      <c r="Q98" s="1">
        <v>960.55700000000002</v>
      </c>
      <c r="R98" s="2">
        <f t="shared" si="21"/>
        <v>-239.53725000000009</v>
      </c>
      <c r="S98">
        <f t="shared" si="22"/>
        <v>-47.895000000000437</v>
      </c>
      <c r="T98" s="1">
        <v>1682.7570000000001</v>
      </c>
      <c r="U98" s="1">
        <v>1064.7429999999999</v>
      </c>
      <c r="V98" s="1">
        <v>1417.807</v>
      </c>
      <c r="W98" s="1">
        <v>1225.5129999999999</v>
      </c>
      <c r="X98" s="2">
        <f t="shared" si="23"/>
        <v>-338.03575000000023</v>
      </c>
      <c r="Y98" s="6"/>
      <c r="Z98" s="7"/>
      <c r="AB98" s="6"/>
      <c r="AC98" s="8"/>
      <c r="AD98" s="2">
        <f t="shared" si="24"/>
        <v>-36.9675000000002</v>
      </c>
      <c r="AE98" s="2"/>
      <c r="AF98" s="2"/>
      <c r="AG98" s="2"/>
      <c r="AH98" s="2"/>
      <c r="AI98" s="2"/>
      <c r="AJ98" s="6"/>
      <c r="AK98" s="6"/>
      <c r="AL98" s="6"/>
      <c r="AM98" s="6"/>
      <c r="AN98" s="6"/>
      <c r="AO98" s="6"/>
      <c r="AP98" s="6"/>
      <c r="AQ98" s="8"/>
      <c r="AR98" s="6"/>
      <c r="AS98" s="6"/>
      <c r="AT98" s="6"/>
      <c r="AU98" s="6"/>
      <c r="AV98" s="7"/>
      <c r="AW98" s="7"/>
      <c r="AX98" s="7"/>
      <c r="AY98" s="7"/>
      <c r="AZ98" s="7"/>
      <c r="BA98" s="7"/>
      <c r="BB98" s="6"/>
      <c r="BC98" s="6"/>
      <c r="BD98" s="6"/>
      <c r="BE98" s="6"/>
      <c r="BF98" s="6"/>
      <c r="BG98" s="6"/>
      <c r="BH98" s="6"/>
      <c r="BI98" s="6"/>
      <c r="BJ98" s="6"/>
      <c r="BK98" s="6"/>
      <c r="BL98" s="6"/>
      <c r="BM98" s="6"/>
      <c r="BN98" s="6"/>
      <c r="BO98" s="6"/>
      <c r="BP98" s="6"/>
      <c r="BQ98" s="6"/>
      <c r="BR98" s="6"/>
      <c r="BS98" s="6"/>
      <c r="BT98" s="8"/>
      <c r="BU98" s="6"/>
      <c r="BV98" s="6"/>
      <c r="BW98" s="6"/>
      <c r="BX98" s="8"/>
      <c r="BY98" s="6"/>
      <c r="BZ98" s="7"/>
      <c r="CA98" s="7"/>
      <c r="CB98" s="7"/>
      <c r="CC98" s="7"/>
      <c r="CD98" s="7"/>
      <c r="CE98" s="7"/>
    </row>
    <row r="99" spans="1:83" ht="14" x14ac:dyDescent="0.3">
      <c r="A99" s="2">
        <f t="shared" si="4"/>
        <v>48.5</v>
      </c>
      <c r="B99" s="2">
        <v>1296.086</v>
      </c>
      <c r="C99" s="2">
        <v>1204.509</v>
      </c>
      <c r="D99" s="2">
        <v>985.63199999999995</v>
      </c>
      <c r="E99" s="2">
        <v>1505.25</v>
      </c>
      <c r="F99" s="2">
        <f t="shared" si="17"/>
        <v>-752.13074999999981</v>
      </c>
      <c r="G99">
        <f t="shared" si="18"/>
        <v>-42.783999999999651</v>
      </c>
      <c r="H99" s="1">
        <v>1200.133</v>
      </c>
      <c r="I99" s="1">
        <v>1135.1220000000001</v>
      </c>
      <c r="J99" s="1">
        <v>1612.76</v>
      </c>
      <c r="K99" s="1">
        <v>1069.973</v>
      </c>
      <c r="L99" s="2">
        <f t="shared" si="19"/>
        <v>-745.50299999999993</v>
      </c>
      <c r="M99">
        <f t="shared" si="20"/>
        <v>-32.852499999999964</v>
      </c>
      <c r="N99" s="1">
        <v>2764.6770000000001</v>
      </c>
      <c r="O99" s="1">
        <v>1280.9280000000001</v>
      </c>
      <c r="P99" s="1">
        <v>1962.9570000000001</v>
      </c>
      <c r="Q99" s="1">
        <v>940.58399999999995</v>
      </c>
      <c r="R99" s="2">
        <f t="shared" si="21"/>
        <v>-262.71349999999984</v>
      </c>
      <c r="S99">
        <f t="shared" si="22"/>
        <v>-35.710499999999683</v>
      </c>
      <c r="T99" s="1">
        <v>1656.356</v>
      </c>
      <c r="U99" s="1">
        <v>1047.2180000000001</v>
      </c>
      <c r="V99" s="1">
        <v>1396.337</v>
      </c>
      <c r="W99" s="1">
        <v>1203.3499999999999</v>
      </c>
      <c r="X99" s="2">
        <f t="shared" si="23"/>
        <v>-364.13349999999991</v>
      </c>
      <c r="Y99" s="6"/>
      <c r="Z99" s="7"/>
      <c r="AB99" s="6"/>
      <c r="AC99" s="8"/>
      <c r="AD99" s="2">
        <f t="shared" si="24"/>
        <v>-43.652999999999793</v>
      </c>
      <c r="AE99" s="2"/>
      <c r="AF99" s="2"/>
      <c r="AG99" s="2"/>
      <c r="AH99" s="2"/>
      <c r="AI99" s="2"/>
      <c r="AJ99" s="6"/>
      <c r="AK99" s="6"/>
      <c r="AL99" s="6"/>
      <c r="AM99" s="6"/>
      <c r="AN99" s="6"/>
      <c r="AO99" s="6"/>
      <c r="AP99" s="6"/>
      <c r="AQ99" s="8"/>
      <c r="AR99" s="6"/>
      <c r="AS99" s="6"/>
      <c r="AT99" s="6"/>
      <c r="AU99" s="6"/>
      <c r="AV99" s="7"/>
      <c r="AW99" s="7"/>
      <c r="AX99" s="7"/>
      <c r="AY99" s="7"/>
      <c r="AZ99" s="7"/>
      <c r="BA99" s="7"/>
      <c r="BB99" s="6"/>
      <c r="BC99" s="6"/>
      <c r="BD99" s="6"/>
      <c r="BE99" s="6"/>
      <c r="BF99" s="6"/>
      <c r="BG99" s="6"/>
      <c r="BH99" s="6"/>
      <c r="BI99" s="6"/>
      <c r="BJ99" s="6"/>
      <c r="BK99" s="6"/>
      <c r="BL99" s="6"/>
      <c r="BM99" s="6"/>
      <c r="BN99" s="6"/>
      <c r="BO99" s="6"/>
      <c r="BP99" s="6"/>
      <c r="BQ99" s="6"/>
      <c r="BR99" s="6"/>
      <c r="BS99" s="9"/>
      <c r="BT99" s="8"/>
      <c r="BU99" s="6"/>
      <c r="BV99" s="6"/>
      <c r="BW99" s="6"/>
      <c r="BX99" s="8"/>
      <c r="BY99" s="6"/>
      <c r="BZ99" s="7"/>
      <c r="CA99" s="7"/>
      <c r="CB99" s="7"/>
      <c r="CC99" s="7"/>
      <c r="CD99" s="7"/>
      <c r="CE99" s="7"/>
    </row>
    <row r="100" spans="1:83" ht="14" x14ac:dyDescent="0.3">
      <c r="A100" s="2">
        <f t="shared" si="4"/>
        <v>49</v>
      </c>
      <c r="B100" s="2">
        <v>1267.2249999999999</v>
      </c>
      <c r="C100" s="2">
        <v>1180.818</v>
      </c>
      <c r="D100" s="2">
        <v>966.976</v>
      </c>
      <c r="E100" s="2">
        <v>1484.0730000000001</v>
      </c>
      <c r="F100" s="2">
        <f t="shared" si="17"/>
        <v>-775.22700000000009</v>
      </c>
      <c r="G100">
        <f t="shared" si="18"/>
        <v>-53.148500000000695</v>
      </c>
      <c r="H100" s="1">
        <v>1181.076</v>
      </c>
      <c r="I100" s="1">
        <v>1119.444</v>
      </c>
      <c r="J100" s="1">
        <v>1593.357</v>
      </c>
      <c r="K100" s="1">
        <v>1048.4469999999999</v>
      </c>
      <c r="L100" s="2">
        <f t="shared" si="19"/>
        <v>-764.4190000000001</v>
      </c>
      <c r="M100">
        <f t="shared" si="20"/>
        <v>-30.417500000000018</v>
      </c>
      <c r="N100" s="1">
        <v>2737.94</v>
      </c>
      <c r="O100" s="1">
        <v>1257.877</v>
      </c>
      <c r="P100" s="1">
        <v>1937.0309999999999</v>
      </c>
      <c r="Q100" s="1">
        <v>920.50800000000004</v>
      </c>
      <c r="R100" s="2">
        <f t="shared" si="21"/>
        <v>-286.66100000000006</v>
      </c>
      <c r="S100">
        <f t="shared" si="22"/>
        <v>-30.817499999999654</v>
      </c>
      <c r="T100" s="1">
        <v>1642.8610000000001</v>
      </c>
      <c r="U100" s="1">
        <v>1034.7719999999999</v>
      </c>
      <c r="V100" s="1">
        <v>1378.5630000000001</v>
      </c>
      <c r="W100" s="1">
        <v>1190.1120000000001</v>
      </c>
      <c r="X100" s="2">
        <f t="shared" si="23"/>
        <v>-382.61725000000001</v>
      </c>
      <c r="Y100" s="6"/>
      <c r="Z100" s="7"/>
      <c r="AB100" s="6"/>
      <c r="AC100" s="8"/>
      <c r="AD100" s="2">
        <f t="shared" si="24"/>
        <v>-43.624499999999898</v>
      </c>
      <c r="AE100" s="2"/>
      <c r="AF100" s="2"/>
      <c r="AG100" s="2"/>
      <c r="AH100" s="2"/>
      <c r="AI100" s="2"/>
      <c r="AJ100" s="6"/>
      <c r="AK100" s="6"/>
      <c r="AL100" s="6"/>
      <c r="AM100" s="6"/>
      <c r="AN100" s="6"/>
      <c r="AO100" s="6"/>
      <c r="AP100" s="6"/>
      <c r="AQ100" s="8"/>
      <c r="AR100" s="6"/>
      <c r="AS100" s="6"/>
      <c r="AT100" s="6"/>
      <c r="AU100" s="6"/>
      <c r="AV100" s="7"/>
      <c r="AW100" s="7"/>
      <c r="AX100" s="7"/>
      <c r="AY100" s="7"/>
      <c r="AZ100" s="7"/>
      <c r="BA100" s="7"/>
      <c r="BB100" s="6"/>
      <c r="BC100" s="6"/>
      <c r="BD100" s="6"/>
      <c r="BE100" s="6"/>
      <c r="BF100" s="6"/>
      <c r="BG100" s="6"/>
      <c r="BH100" s="6"/>
      <c r="BI100" s="6"/>
      <c r="BJ100" s="6"/>
      <c r="BK100" s="6"/>
      <c r="BL100" s="6"/>
      <c r="BM100" s="6"/>
      <c r="BN100" s="6"/>
      <c r="BO100" s="6"/>
      <c r="BP100" s="6"/>
      <c r="BQ100" s="6"/>
      <c r="BR100" s="6"/>
      <c r="BS100" s="6"/>
      <c r="BT100" s="8"/>
      <c r="BU100" s="6"/>
      <c r="BV100" s="6"/>
      <c r="BW100" s="6"/>
      <c r="BX100" s="8"/>
      <c r="BY100" s="6"/>
      <c r="BZ100" s="7"/>
      <c r="CA100" s="7"/>
      <c r="CB100" s="7"/>
      <c r="CC100" s="7"/>
      <c r="CD100" s="7"/>
      <c r="CE100" s="7"/>
    </row>
    <row r="101" spans="1:83" ht="14" x14ac:dyDescent="0.3">
      <c r="A101" s="2">
        <f t="shared" si="4"/>
        <v>49.5</v>
      </c>
      <c r="B101" s="2">
        <v>1243.6130000000001</v>
      </c>
      <c r="C101" s="2">
        <v>1165.5170000000001</v>
      </c>
      <c r="D101" s="2">
        <v>949.71199999999999</v>
      </c>
      <c r="E101" s="2">
        <v>1454.682</v>
      </c>
      <c r="F101" s="2">
        <f t="shared" si="17"/>
        <v>-796.61899999999991</v>
      </c>
      <c r="G101">
        <f t="shared" si="18"/>
        <v>-44.332499999999527</v>
      </c>
      <c r="H101" s="1">
        <v>1166.5239999999999</v>
      </c>
      <c r="I101" s="1">
        <v>1103.076</v>
      </c>
      <c r="J101" s="1">
        <v>1573.7339999999999</v>
      </c>
      <c r="K101" s="1">
        <v>1033.2850000000001</v>
      </c>
      <c r="L101" s="2">
        <f t="shared" si="19"/>
        <v>-780.84525000000008</v>
      </c>
      <c r="M101">
        <f t="shared" si="20"/>
        <v>-41.703499999999622</v>
      </c>
      <c r="N101" s="1">
        <v>2716.866</v>
      </c>
      <c r="O101" s="1">
        <v>1244.057</v>
      </c>
      <c r="P101" s="1">
        <v>1914.086</v>
      </c>
      <c r="Q101" s="1">
        <v>906.92600000000004</v>
      </c>
      <c r="R101" s="2">
        <f t="shared" si="21"/>
        <v>-304.5162499999999</v>
      </c>
      <c r="S101">
        <f t="shared" si="22"/>
        <v>-38.737500000000637</v>
      </c>
      <c r="T101" s="1">
        <v>1624.875</v>
      </c>
      <c r="U101" s="1">
        <v>1018.764</v>
      </c>
      <c r="V101" s="1">
        <v>1359.9110000000001</v>
      </c>
      <c r="W101" s="1">
        <v>1172.3579999999999</v>
      </c>
      <c r="X101" s="2">
        <f t="shared" si="23"/>
        <v>-404.44374999999991</v>
      </c>
      <c r="Y101" s="6"/>
      <c r="Z101" s="7"/>
      <c r="AB101" s="6"/>
      <c r="AC101" s="8"/>
      <c r="AD101" s="2">
        <f t="shared" si="24"/>
        <v>-15.583000000000084</v>
      </c>
      <c r="AE101" s="2"/>
      <c r="AF101" s="2"/>
      <c r="AG101" s="2"/>
      <c r="AH101" s="3"/>
      <c r="AI101" s="2"/>
      <c r="AJ101" s="6"/>
      <c r="AK101" s="6"/>
      <c r="AL101" s="6"/>
      <c r="AM101" s="6"/>
      <c r="AN101" s="6"/>
      <c r="AO101" s="6"/>
      <c r="AP101" s="6"/>
      <c r="AQ101" s="8"/>
      <c r="AR101" s="6"/>
      <c r="AS101" s="6"/>
      <c r="AT101" s="9"/>
      <c r="AU101" s="6"/>
      <c r="AV101" s="7"/>
      <c r="AW101" s="7"/>
      <c r="AX101" s="7"/>
      <c r="AY101" s="7"/>
      <c r="AZ101" s="7"/>
      <c r="BA101" s="7"/>
      <c r="BB101" s="6"/>
      <c r="BC101" s="6"/>
      <c r="BD101" s="6"/>
      <c r="BE101" s="6"/>
      <c r="BF101" s="6"/>
      <c r="BG101" s="6"/>
      <c r="BH101" s="6"/>
      <c r="BI101" s="6"/>
      <c r="BJ101" s="6"/>
      <c r="BK101" s="6"/>
      <c r="BL101" s="6"/>
      <c r="BM101" s="6"/>
      <c r="BN101" s="6"/>
      <c r="BO101" s="6"/>
      <c r="BP101" s="6"/>
      <c r="BQ101" s="6"/>
      <c r="BR101" s="6"/>
      <c r="BS101" s="6"/>
      <c r="BT101" s="8"/>
      <c r="BU101" s="6"/>
      <c r="BV101" s="6"/>
      <c r="BW101" s="6"/>
      <c r="BX101" s="8"/>
      <c r="BY101" s="6"/>
      <c r="BZ101" s="7"/>
      <c r="CA101" s="7"/>
      <c r="CB101" s="7"/>
      <c r="CC101" s="7"/>
      <c r="CD101" s="7"/>
      <c r="CE101" s="7"/>
    </row>
    <row r="102" spans="1:83" ht="14" x14ac:dyDescent="0.3">
      <c r="A102" s="2">
        <f t="shared" si="4"/>
        <v>50</v>
      </c>
      <c r="B102" s="2">
        <v>1215.0609999999999</v>
      </c>
      <c r="C102" s="2">
        <v>1141.9639999999999</v>
      </c>
      <c r="D102" s="2">
        <v>928.32299999999998</v>
      </c>
      <c r="E102" s="2">
        <v>1421.8789999999999</v>
      </c>
      <c r="F102" s="2">
        <f t="shared" si="17"/>
        <v>-823.19325000000026</v>
      </c>
      <c r="G102">
        <f t="shared" si="18"/>
        <v>-47.510000000000218</v>
      </c>
      <c r="H102" s="1">
        <v>1155.0540000000001</v>
      </c>
      <c r="I102" s="1">
        <v>1086.3710000000001</v>
      </c>
      <c r="J102" s="1">
        <v>1555.377</v>
      </c>
      <c r="K102" s="1">
        <v>1018.982</v>
      </c>
      <c r="L102" s="2">
        <f t="shared" si="19"/>
        <v>-796.05400000000009</v>
      </c>
      <c r="M102">
        <f t="shared" si="20"/>
        <v>-34.716499999999996</v>
      </c>
      <c r="N102" s="1">
        <v>2696.2240000000002</v>
      </c>
      <c r="O102" s="1">
        <v>1231.1590000000001</v>
      </c>
      <c r="P102" s="1">
        <v>1899.683</v>
      </c>
      <c r="Q102" s="1">
        <v>893.23400000000004</v>
      </c>
      <c r="R102" s="2">
        <f t="shared" si="21"/>
        <v>-319.92499999999973</v>
      </c>
      <c r="S102">
        <f t="shared" si="22"/>
        <v>-36.149499999999989</v>
      </c>
      <c r="T102" s="1">
        <v>1603.9939999999999</v>
      </c>
      <c r="U102" s="1">
        <v>1002.81</v>
      </c>
      <c r="V102" s="1">
        <v>1342.681</v>
      </c>
      <c r="W102" s="1">
        <v>1155.046</v>
      </c>
      <c r="X102" s="2">
        <f t="shared" si="23"/>
        <v>-426.25599999999986</v>
      </c>
      <c r="Y102" s="6"/>
      <c r="Z102" s="7"/>
      <c r="AB102" s="6"/>
      <c r="AC102" s="8"/>
      <c r="AD102" s="2">
        <f t="shared" si="24"/>
        <v>-66.655500000000302</v>
      </c>
      <c r="AE102" s="2"/>
      <c r="AF102" s="2"/>
      <c r="AG102" s="2"/>
      <c r="AH102" s="2"/>
      <c r="AI102" s="2"/>
      <c r="AJ102" s="6"/>
      <c r="AK102" s="6"/>
      <c r="AL102" s="6"/>
      <c r="AM102" s="6"/>
      <c r="AN102" s="6"/>
      <c r="AO102" s="6"/>
      <c r="AP102" s="6"/>
      <c r="AQ102" s="8"/>
      <c r="AR102" s="6"/>
      <c r="AS102" s="6"/>
      <c r="AT102" s="6"/>
      <c r="AU102" s="6"/>
      <c r="AV102" s="7"/>
      <c r="AW102" s="7"/>
      <c r="AX102" s="7"/>
      <c r="AY102" s="7"/>
      <c r="AZ102" s="7"/>
      <c r="BA102" s="7"/>
      <c r="BB102" s="6"/>
      <c r="BC102" s="6"/>
      <c r="BD102" s="6"/>
      <c r="BE102" s="6"/>
      <c r="BF102" s="6"/>
      <c r="BG102" s="6"/>
      <c r="BH102" s="6"/>
      <c r="BI102" s="6"/>
      <c r="BJ102" s="6"/>
      <c r="BK102" s="6"/>
      <c r="BL102" s="6"/>
      <c r="BM102" s="6"/>
      <c r="BN102" s="6"/>
      <c r="BO102" s="6"/>
      <c r="BP102" s="6"/>
      <c r="BQ102" s="6"/>
      <c r="BR102" s="6"/>
      <c r="BS102" s="9"/>
      <c r="BT102" s="8"/>
      <c r="BU102" s="6"/>
      <c r="BV102" s="6"/>
      <c r="BW102" s="6"/>
      <c r="BX102" s="8"/>
      <c r="BY102" s="6"/>
      <c r="BZ102" s="7"/>
      <c r="CA102" s="7"/>
      <c r="CB102" s="7"/>
      <c r="CC102" s="7"/>
      <c r="CD102" s="7"/>
      <c r="CE102" s="7"/>
    </row>
    <row r="103" spans="1:83" ht="14" x14ac:dyDescent="0.3">
      <c r="A103" s="2">
        <f t="shared" si="4"/>
        <v>50.5</v>
      </c>
      <c r="B103" s="2">
        <v>1196.942</v>
      </c>
      <c r="C103" s="2">
        <v>1117.6320000000001</v>
      </c>
      <c r="D103" s="2">
        <v>908.50300000000004</v>
      </c>
      <c r="E103" s="2">
        <v>1395.4849999999999</v>
      </c>
      <c r="F103" s="2">
        <f t="shared" si="17"/>
        <v>-845.35950000000003</v>
      </c>
      <c r="G103">
        <f t="shared" si="18"/>
        <v>-39.047999999999774</v>
      </c>
      <c r="H103" s="1">
        <v>1132.288</v>
      </c>
      <c r="I103" s="1">
        <v>1069.5160000000001</v>
      </c>
      <c r="J103" s="1">
        <v>1532.8989999999999</v>
      </c>
      <c r="K103" s="1">
        <v>997.67399999999998</v>
      </c>
      <c r="L103" s="2">
        <f t="shared" si="19"/>
        <v>-816.9057499999999</v>
      </c>
      <c r="M103">
        <f t="shared" si="20"/>
        <v>-22.003000000000156</v>
      </c>
      <c r="N103" s="1">
        <v>2673.2559999999999</v>
      </c>
      <c r="O103" s="1">
        <v>1216.7929999999999</v>
      </c>
      <c r="P103" s="1">
        <v>1876.636</v>
      </c>
      <c r="Q103" s="1">
        <v>876.14</v>
      </c>
      <c r="R103" s="2">
        <f t="shared" si="21"/>
        <v>-339.29375000000005</v>
      </c>
      <c r="S103">
        <f t="shared" si="22"/>
        <v>-25.744499999999789</v>
      </c>
      <c r="T103" s="1">
        <v>1587.2</v>
      </c>
      <c r="U103" s="1">
        <v>986.24300000000005</v>
      </c>
      <c r="V103" s="1">
        <v>1352.0619999999999</v>
      </c>
      <c r="W103" s="1">
        <v>1138.2619999999999</v>
      </c>
      <c r="X103" s="2">
        <f t="shared" si="23"/>
        <v>-434.0474999999999</v>
      </c>
      <c r="Y103" s="6"/>
      <c r="Z103" s="7"/>
      <c r="AB103" s="6"/>
      <c r="AC103" s="8"/>
      <c r="AD103" s="2">
        <f t="shared" si="24"/>
        <v>-48.247000000000298</v>
      </c>
      <c r="AE103" s="2"/>
      <c r="AF103" s="2"/>
      <c r="AG103" s="2"/>
      <c r="AH103" s="3"/>
      <c r="AI103" s="2"/>
      <c r="AJ103" s="6"/>
      <c r="AK103" s="6"/>
      <c r="AL103" s="6"/>
      <c r="AM103" s="6"/>
      <c r="AN103" s="6"/>
      <c r="AO103" s="6"/>
      <c r="AP103" s="6"/>
      <c r="AQ103" s="8"/>
      <c r="AR103" s="6"/>
      <c r="AS103" s="6"/>
      <c r="AT103" s="6"/>
      <c r="AU103" s="6"/>
      <c r="AV103" s="7"/>
      <c r="AW103" s="7"/>
      <c r="AX103" s="7"/>
      <c r="AY103" s="7"/>
      <c r="AZ103" s="7"/>
      <c r="BA103" s="7"/>
      <c r="BB103" s="6"/>
      <c r="BC103" s="6"/>
      <c r="BD103" s="6"/>
      <c r="BE103" s="6"/>
      <c r="BF103" s="6"/>
      <c r="BG103" s="6"/>
      <c r="BH103" s="6"/>
      <c r="BI103" s="6"/>
      <c r="BJ103" s="6"/>
      <c r="BK103" s="6"/>
      <c r="BL103" s="6"/>
      <c r="BM103" s="6"/>
      <c r="BN103" s="6"/>
      <c r="BO103" s="6"/>
      <c r="BP103" s="6"/>
      <c r="BQ103" s="6"/>
      <c r="BR103" s="6"/>
      <c r="BS103" s="6"/>
      <c r="BT103" s="8"/>
      <c r="BU103" s="6"/>
      <c r="BV103" s="6"/>
      <c r="BW103" s="6"/>
      <c r="BX103" s="8"/>
      <c r="BY103" s="6"/>
      <c r="BZ103" s="7"/>
      <c r="CA103" s="7"/>
      <c r="CB103" s="7"/>
      <c r="CC103" s="7"/>
      <c r="CD103" s="7"/>
      <c r="CE103" s="7"/>
    </row>
    <row r="104" spans="1:83" ht="14" x14ac:dyDescent="0.3">
      <c r="A104" s="2">
        <f t="shared" si="4"/>
        <v>51</v>
      </c>
      <c r="B104" s="2">
        <v>1174.6020000000001</v>
      </c>
      <c r="C104" s="2">
        <v>1091.0119999999999</v>
      </c>
      <c r="D104" s="2">
        <v>888.38499999999999</v>
      </c>
      <c r="E104" s="2">
        <v>1369.5429999999999</v>
      </c>
      <c r="F104" s="2">
        <f t="shared" si="17"/>
        <v>-869.11450000000013</v>
      </c>
      <c r="G104">
        <f t="shared" si="18"/>
        <v>-39.437000000000353</v>
      </c>
      <c r="H104" s="1">
        <v>1120.1780000000001</v>
      </c>
      <c r="I104" s="1">
        <v>1050.3869999999999</v>
      </c>
      <c r="J104" s="1">
        <v>1509.866</v>
      </c>
      <c r="K104" s="1">
        <v>982.51300000000003</v>
      </c>
      <c r="L104" s="2">
        <f t="shared" si="19"/>
        <v>-834.2639999999999</v>
      </c>
      <c r="M104">
        <f t="shared" si="20"/>
        <v>-46.20049999999992</v>
      </c>
      <c r="N104" s="1">
        <v>2645.886</v>
      </c>
      <c r="O104" s="1">
        <v>1204.473</v>
      </c>
      <c r="P104" s="1">
        <v>1857.0050000000001</v>
      </c>
      <c r="Q104" s="1">
        <v>863.16200000000003</v>
      </c>
      <c r="R104" s="2">
        <f t="shared" si="21"/>
        <v>-357.36850000000004</v>
      </c>
      <c r="S104">
        <f t="shared" si="22"/>
        <v>-26.507999999999811</v>
      </c>
      <c r="T104" s="1">
        <v>1566.877</v>
      </c>
      <c r="U104" s="1">
        <v>974.28200000000004</v>
      </c>
      <c r="V104" s="1">
        <v>1307.529</v>
      </c>
      <c r="W104" s="1">
        <v>1123.6859999999999</v>
      </c>
      <c r="X104" s="2">
        <f t="shared" si="23"/>
        <v>-467.37525000000005</v>
      </c>
      <c r="Y104" s="6"/>
      <c r="Z104" s="7"/>
      <c r="AB104" s="6"/>
      <c r="AC104" s="8"/>
      <c r="AD104" s="2">
        <f t="shared" si="24"/>
        <v>-38.026999999999589</v>
      </c>
      <c r="AE104" s="2"/>
      <c r="AF104" s="2"/>
      <c r="AG104" s="2"/>
      <c r="AH104" s="3"/>
      <c r="AI104" s="2"/>
      <c r="AJ104" s="6"/>
      <c r="AK104" s="6"/>
      <c r="AL104" s="6"/>
      <c r="AM104" s="6"/>
      <c r="AN104" s="6"/>
      <c r="AO104" s="6"/>
      <c r="AP104" s="6"/>
      <c r="AQ104" s="8"/>
      <c r="AR104" s="6"/>
      <c r="AS104" s="6"/>
      <c r="AT104" s="6"/>
      <c r="AU104" s="6"/>
      <c r="AV104" s="7"/>
      <c r="AW104" s="7"/>
      <c r="AX104" s="7"/>
      <c r="AY104" s="7"/>
      <c r="AZ104" s="7"/>
      <c r="BA104" s="7"/>
      <c r="BB104" s="6"/>
      <c r="BC104" s="6"/>
      <c r="BD104" s="6"/>
      <c r="BE104" s="6"/>
      <c r="BF104" s="6"/>
      <c r="BG104" s="6"/>
      <c r="BH104" s="6"/>
      <c r="BI104" s="6"/>
      <c r="BJ104" s="6"/>
      <c r="BK104" s="6"/>
      <c r="BL104" s="6"/>
      <c r="BM104" s="6"/>
      <c r="BN104" s="6"/>
      <c r="BO104" s="6"/>
      <c r="BP104" s="6"/>
      <c r="BQ104" s="6"/>
      <c r="BR104" s="6"/>
      <c r="BS104" s="6"/>
      <c r="BT104" s="8"/>
      <c r="BU104" s="6"/>
      <c r="BV104" s="6"/>
      <c r="BW104" s="6"/>
      <c r="BX104" s="8"/>
      <c r="BY104" s="6"/>
      <c r="BZ104" s="7"/>
      <c r="CA104" s="7"/>
      <c r="CB104" s="7"/>
      <c r="CC104" s="7"/>
      <c r="CD104" s="7"/>
      <c r="CE104" s="7"/>
    </row>
    <row r="105" spans="1:83" ht="14" x14ac:dyDescent="0.3">
      <c r="A105" s="2">
        <f t="shared" si="4"/>
        <v>51.5</v>
      </c>
      <c r="B105" s="2">
        <v>1162.4960000000001</v>
      </c>
      <c r="C105" s="2">
        <v>1069.723</v>
      </c>
      <c r="D105" s="2">
        <v>868.31700000000001</v>
      </c>
      <c r="E105" s="2">
        <v>1344.91</v>
      </c>
      <c r="F105" s="2">
        <f t="shared" si="17"/>
        <v>-888.63850000000002</v>
      </c>
      <c r="G105">
        <f t="shared" si="18"/>
        <v>-33.141499999999724</v>
      </c>
      <c r="H105" s="1">
        <v>1106.5219999999999</v>
      </c>
      <c r="I105" s="1">
        <v>1036.7760000000001</v>
      </c>
      <c r="J105" s="1">
        <v>1494.4110000000001</v>
      </c>
      <c r="K105" s="1">
        <v>981.22900000000004</v>
      </c>
      <c r="L105" s="2">
        <f t="shared" si="19"/>
        <v>-845.26549999999997</v>
      </c>
      <c r="M105">
        <f t="shared" si="20"/>
        <v>-42.941000000000258</v>
      </c>
      <c r="N105" s="1">
        <v>2633.5329999999999</v>
      </c>
      <c r="O105" s="1">
        <v>1192.5150000000001</v>
      </c>
      <c r="P105" s="1">
        <v>1838.9380000000001</v>
      </c>
      <c r="Q105" s="1">
        <v>854.05100000000004</v>
      </c>
      <c r="R105" s="2">
        <f t="shared" si="21"/>
        <v>-370.24074999999993</v>
      </c>
      <c r="S105">
        <f t="shared" si="22"/>
        <v>-25.003000000000611</v>
      </c>
      <c r="T105" s="1">
        <v>1550.941</v>
      </c>
      <c r="U105" s="1">
        <v>955.048</v>
      </c>
      <c r="V105" s="1">
        <v>1286.4839999999999</v>
      </c>
      <c r="W105" s="1">
        <v>1105.5419999999999</v>
      </c>
      <c r="X105" s="2">
        <f t="shared" si="23"/>
        <v>-491.4987500000002</v>
      </c>
      <c r="Y105" s="6"/>
      <c r="Z105" s="7"/>
      <c r="AB105" s="6"/>
      <c r="AC105" s="8"/>
      <c r="AD105" s="2">
        <f t="shared" si="24"/>
        <v>-42.630999999999858</v>
      </c>
      <c r="AE105" s="2"/>
      <c r="AF105" s="2"/>
      <c r="AG105" s="2"/>
      <c r="AH105" s="2"/>
      <c r="AI105" s="2"/>
      <c r="AJ105" s="6"/>
      <c r="AK105" s="6"/>
      <c r="AL105" s="6"/>
      <c r="AM105" s="6"/>
      <c r="AN105" s="6"/>
      <c r="AO105" s="6"/>
      <c r="AP105" s="6"/>
      <c r="AQ105" s="8"/>
      <c r="AR105" s="6"/>
      <c r="AS105" s="6"/>
      <c r="AT105" s="6"/>
      <c r="AU105" s="6"/>
      <c r="AV105" s="7"/>
      <c r="AW105" s="7"/>
      <c r="AX105" s="7"/>
      <c r="AY105" s="7"/>
      <c r="AZ105" s="7"/>
      <c r="BA105" s="7"/>
      <c r="BB105" s="6"/>
      <c r="BC105" s="6"/>
      <c r="BD105" s="6"/>
      <c r="BE105" s="6"/>
      <c r="BF105" s="6"/>
      <c r="BG105" s="6"/>
      <c r="BH105" s="6"/>
      <c r="BI105" s="6"/>
      <c r="BJ105" s="9"/>
      <c r="BK105" s="6"/>
      <c r="BL105" s="6"/>
      <c r="BM105" s="6"/>
      <c r="BN105" s="6"/>
      <c r="BO105" s="8"/>
      <c r="BP105" s="6"/>
      <c r="BQ105" s="6"/>
      <c r="BR105" s="6"/>
      <c r="BS105" s="6"/>
      <c r="BT105" s="8"/>
      <c r="BU105" s="6"/>
      <c r="BV105" s="6"/>
      <c r="BW105" s="6"/>
      <c r="BX105" s="8"/>
      <c r="BY105" s="6"/>
      <c r="BZ105" s="7"/>
      <c r="CA105" s="7"/>
      <c r="CB105" s="7"/>
      <c r="CC105" s="7"/>
      <c r="CD105" s="7"/>
      <c r="CE105" s="7"/>
    </row>
    <row r="106" spans="1:83" ht="14" x14ac:dyDescent="0.3">
      <c r="A106" s="2">
        <f t="shared" si="4"/>
        <v>52</v>
      </c>
      <c r="B106" s="2">
        <v>1145.8489999999999</v>
      </c>
      <c r="C106" s="2">
        <v>1055.413</v>
      </c>
      <c r="D106" s="2">
        <v>852.58799999999997</v>
      </c>
      <c r="E106" s="2">
        <v>1312.722</v>
      </c>
      <c r="F106" s="2">
        <f t="shared" si="17"/>
        <v>-908.3570000000002</v>
      </c>
      <c r="G106">
        <f t="shared" si="18"/>
        <v>-39.536499999999705</v>
      </c>
      <c r="H106" s="1">
        <v>1083.097</v>
      </c>
      <c r="I106" s="1">
        <v>1014.321</v>
      </c>
      <c r="J106" s="1">
        <v>1467.826</v>
      </c>
      <c r="K106" s="1">
        <v>961.29300000000001</v>
      </c>
      <c r="L106" s="2">
        <f t="shared" si="19"/>
        <v>-868.36574999999993</v>
      </c>
      <c r="M106">
        <f t="shared" si="20"/>
        <v>-28.711499999999887</v>
      </c>
      <c r="N106" s="1">
        <v>2611.846</v>
      </c>
      <c r="O106" s="1">
        <v>1183.837</v>
      </c>
      <c r="P106" s="1">
        <v>1826.296</v>
      </c>
      <c r="Q106" s="1">
        <v>844.04200000000003</v>
      </c>
      <c r="R106" s="2">
        <f t="shared" si="21"/>
        <v>-383.49474999999984</v>
      </c>
      <c r="S106">
        <f t="shared" si="22"/>
        <v>-30.154499999999643</v>
      </c>
      <c r="T106" s="1">
        <v>1531.0029999999999</v>
      </c>
      <c r="U106" s="1">
        <v>941.98699999999997</v>
      </c>
      <c r="V106" s="1">
        <v>1271.4870000000001</v>
      </c>
      <c r="W106" s="1">
        <v>1090.057</v>
      </c>
      <c r="X106" s="2">
        <f t="shared" si="23"/>
        <v>-510.51224999999999</v>
      </c>
      <c r="Y106" s="6"/>
      <c r="Z106" s="7"/>
      <c r="AB106" s="6"/>
      <c r="AC106" s="8"/>
      <c r="AD106" s="2">
        <f t="shared" si="24"/>
        <v>-34.909000000000106</v>
      </c>
      <c r="AE106" s="2"/>
      <c r="AF106" s="2"/>
      <c r="AG106" s="2"/>
      <c r="AH106" s="2"/>
      <c r="AI106" s="2"/>
      <c r="AJ106" s="6"/>
      <c r="AK106" s="6"/>
      <c r="AL106" s="6"/>
      <c r="AM106" s="6"/>
      <c r="AN106" s="6"/>
      <c r="AO106" s="6"/>
      <c r="AP106" s="6"/>
      <c r="AQ106" s="8"/>
      <c r="AR106" s="6"/>
      <c r="AS106" s="6"/>
      <c r="AT106" s="6"/>
      <c r="AU106" s="6"/>
      <c r="AV106" s="7"/>
      <c r="AW106" s="7"/>
      <c r="AX106" s="7"/>
      <c r="AY106" s="7"/>
      <c r="AZ106" s="7"/>
      <c r="BA106" s="7"/>
      <c r="BB106" s="6"/>
      <c r="BC106" s="6"/>
      <c r="BD106" s="6"/>
      <c r="BE106" s="6"/>
      <c r="BF106" s="6"/>
      <c r="BG106" s="6"/>
      <c r="BH106" s="6"/>
      <c r="BI106" s="6"/>
      <c r="BJ106" s="6"/>
      <c r="BK106" s="6"/>
      <c r="BL106" s="6"/>
      <c r="BM106" s="6"/>
      <c r="BN106" s="6"/>
      <c r="BO106" s="8"/>
      <c r="BP106" s="6"/>
      <c r="BQ106" s="6"/>
      <c r="BR106" s="6"/>
      <c r="BS106" s="6"/>
      <c r="BT106" s="8"/>
      <c r="BU106" s="6"/>
      <c r="BV106" s="6"/>
      <c r="BW106" s="6"/>
      <c r="BX106" s="8"/>
      <c r="BY106" s="6"/>
      <c r="BZ106" s="7"/>
      <c r="CA106" s="7"/>
      <c r="CB106" s="7"/>
      <c r="CC106" s="7"/>
      <c r="CD106" s="7"/>
      <c r="CE106" s="7"/>
    </row>
    <row r="107" spans="1:83" ht="14" x14ac:dyDescent="0.3">
      <c r="A107" s="2">
        <f t="shared" si="4"/>
        <v>52.5</v>
      </c>
      <c r="B107" s="2">
        <v>1131.9829999999999</v>
      </c>
      <c r="C107" s="2">
        <v>1033.9069999999999</v>
      </c>
      <c r="D107" s="2">
        <v>833.06399999999996</v>
      </c>
      <c r="E107" s="2">
        <v>1301.335</v>
      </c>
      <c r="F107" s="2">
        <f t="shared" si="17"/>
        <v>-924.92775000000006</v>
      </c>
      <c r="G107">
        <f t="shared" si="18"/>
        <v>-36.677000000000135</v>
      </c>
      <c r="H107" s="1">
        <v>1066.8209999999999</v>
      </c>
      <c r="I107" s="1">
        <v>995.63599999999997</v>
      </c>
      <c r="J107" s="1">
        <v>1446.367</v>
      </c>
      <c r="K107" s="1">
        <v>931.83100000000002</v>
      </c>
      <c r="L107" s="2">
        <f t="shared" si="19"/>
        <v>-889.83625000000006</v>
      </c>
      <c r="M107">
        <f t="shared" si="20"/>
        <v>-23.893999999999778</v>
      </c>
      <c r="N107" s="1">
        <v>2597.799</v>
      </c>
      <c r="O107" s="1">
        <v>1171.585</v>
      </c>
      <c r="P107" s="1">
        <v>1811.816</v>
      </c>
      <c r="Q107" s="1">
        <v>834.81500000000005</v>
      </c>
      <c r="R107" s="2">
        <f t="shared" si="21"/>
        <v>-395.99625000000015</v>
      </c>
      <c r="S107">
        <f t="shared" si="22"/>
        <v>-29.883000000000266</v>
      </c>
      <c r="T107" s="1">
        <v>1514.6610000000001</v>
      </c>
      <c r="U107" s="1">
        <v>926.44899999999996</v>
      </c>
      <c r="V107" s="1">
        <v>1252.5650000000001</v>
      </c>
      <c r="W107" s="1">
        <v>1073.1289999999999</v>
      </c>
      <c r="X107" s="2">
        <f t="shared" si="23"/>
        <v>-531.82774999999992</v>
      </c>
      <c r="Y107" s="6"/>
      <c r="Z107" s="7"/>
      <c r="AB107" s="6"/>
      <c r="AC107" s="8"/>
      <c r="AD107" s="2">
        <f t="shared" si="24"/>
        <v>-37.494500000000244</v>
      </c>
      <c r="AE107" s="2"/>
      <c r="AF107" s="2"/>
      <c r="AG107" s="2"/>
      <c r="AH107" s="2"/>
      <c r="AI107" s="2"/>
      <c r="AJ107" s="6"/>
      <c r="AK107" s="6"/>
      <c r="AL107" s="6"/>
      <c r="AM107" s="6"/>
      <c r="AN107" s="6"/>
      <c r="AO107" s="6"/>
      <c r="AP107" s="6"/>
      <c r="AQ107" s="8"/>
      <c r="AR107" s="6"/>
      <c r="AS107" s="6"/>
      <c r="AT107" s="6"/>
      <c r="AU107" s="6"/>
      <c r="AV107" s="7"/>
      <c r="AW107" s="7"/>
      <c r="AX107" s="7"/>
      <c r="AY107" s="7"/>
      <c r="AZ107" s="7"/>
      <c r="BA107" s="7"/>
      <c r="BB107" s="6"/>
      <c r="BC107" s="6"/>
      <c r="BD107" s="6"/>
      <c r="BE107" s="6"/>
      <c r="BF107" s="6"/>
      <c r="BG107" s="6"/>
      <c r="BH107" s="6"/>
      <c r="BI107" s="6"/>
      <c r="BJ107" s="6"/>
      <c r="BK107" s="6"/>
      <c r="BL107" s="6"/>
      <c r="BM107" s="6"/>
      <c r="BN107" s="6"/>
      <c r="BO107" s="8"/>
      <c r="BP107" s="6"/>
      <c r="BQ107" s="6"/>
      <c r="BR107" s="6"/>
      <c r="BS107" s="6"/>
      <c r="BT107" s="8"/>
      <c r="BU107" s="6"/>
      <c r="BV107" s="6"/>
      <c r="BW107" s="6"/>
      <c r="BX107" s="8"/>
      <c r="BY107" s="6"/>
      <c r="BZ107" s="7"/>
      <c r="CA107" s="7"/>
      <c r="CB107" s="7"/>
      <c r="CC107" s="7"/>
      <c r="CD107" s="7"/>
      <c r="CE107" s="7"/>
    </row>
    <row r="108" spans="1:83" ht="14" x14ac:dyDescent="0.3">
      <c r="A108" s="2">
        <f t="shared" si="4"/>
        <v>53</v>
      </c>
      <c r="B108" s="2">
        <v>1118.3900000000001</v>
      </c>
      <c r="C108" s="2">
        <v>1013.708</v>
      </c>
      <c r="D108" s="2">
        <v>814.13099999999997</v>
      </c>
      <c r="E108" s="2">
        <v>1274.9870000000001</v>
      </c>
      <c r="F108" s="2">
        <f t="shared" si="17"/>
        <v>-944.69599999999991</v>
      </c>
      <c r="G108">
        <f t="shared" si="18"/>
        <v>-42.510000000000218</v>
      </c>
      <c r="H108" s="1">
        <v>1050.8779999999999</v>
      </c>
      <c r="I108" s="1">
        <v>979.625</v>
      </c>
      <c r="J108" s="1">
        <v>1429.5160000000001</v>
      </c>
      <c r="K108" s="1">
        <v>923.21299999999997</v>
      </c>
      <c r="L108" s="2">
        <f t="shared" si="19"/>
        <v>-904.19200000000001</v>
      </c>
      <c r="M108">
        <f t="shared" si="20"/>
        <v>-21.680000000000291</v>
      </c>
      <c r="N108" s="1">
        <v>2579.3240000000001</v>
      </c>
      <c r="O108" s="1">
        <v>1157.93</v>
      </c>
      <c r="P108" s="1">
        <v>1794.41</v>
      </c>
      <c r="Q108" s="1">
        <v>824.04200000000003</v>
      </c>
      <c r="R108" s="2">
        <f t="shared" si="21"/>
        <v>-411.07349999999997</v>
      </c>
      <c r="S108">
        <f t="shared" si="22"/>
        <v>-29.815999999999804</v>
      </c>
      <c r="T108" s="1">
        <v>1498.8989999999999</v>
      </c>
      <c r="U108" s="1">
        <v>913.01300000000003</v>
      </c>
      <c r="V108" s="1">
        <v>1238.973</v>
      </c>
      <c r="W108" s="1">
        <v>1057.3409999999999</v>
      </c>
      <c r="X108" s="2">
        <f t="shared" si="23"/>
        <v>-549.28224999999998</v>
      </c>
      <c r="Y108" s="6"/>
      <c r="Z108" s="7"/>
      <c r="AB108" s="6"/>
      <c r="AC108" s="8"/>
      <c r="AD108" s="2">
        <f t="shared" si="24"/>
        <v>-22.460500000000138</v>
      </c>
      <c r="AE108" s="2"/>
      <c r="AF108" s="3"/>
      <c r="AG108" s="2"/>
      <c r="AH108" s="2"/>
      <c r="AI108" s="2"/>
      <c r="AJ108" s="6"/>
      <c r="AK108" s="6"/>
      <c r="AL108" s="6"/>
      <c r="AM108" s="6"/>
      <c r="AN108" s="6"/>
      <c r="AO108" s="6"/>
      <c r="AP108" s="6"/>
      <c r="AQ108" s="8"/>
      <c r="AR108" s="6"/>
      <c r="AS108" s="6"/>
      <c r="AT108" s="6"/>
      <c r="AU108" s="6"/>
      <c r="AV108" s="7"/>
      <c r="AW108" s="7"/>
      <c r="AX108" s="7"/>
      <c r="AY108" s="7"/>
      <c r="AZ108" s="7"/>
      <c r="BA108" s="7"/>
      <c r="BB108" s="6"/>
      <c r="BC108" s="6"/>
      <c r="BD108" s="6"/>
      <c r="BE108" s="6"/>
      <c r="BF108" s="6"/>
      <c r="BG108" s="6"/>
      <c r="BH108" s="6"/>
      <c r="BI108" s="6"/>
      <c r="BJ108" s="6"/>
      <c r="BK108" s="6"/>
      <c r="BL108" s="6"/>
      <c r="BM108" s="6"/>
      <c r="BN108" s="6"/>
      <c r="BO108" s="6"/>
      <c r="BP108" s="6"/>
      <c r="BQ108" s="6"/>
      <c r="BR108" s="6"/>
      <c r="BS108" s="9"/>
      <c r="BT108" s="8"/>
      <c r="BU108" s="6"/>
      <c r="BV108" s="6"/>
      <c r="BW108" s="6"/>
      <c r="BX108" s="8"/>
      <c r="BY108" s="6"/>
      <c r="BZ108" s="7"/>
      <c r="CA108" s="7"/>
      <c r="CB108" s="7"/>
      <c r="CC108" s="7"/>
      <c r="CD108" s="7"/>
      <c r="CE108" s="7"/>
    </row>
    <row r="109" spans="1:83" ht="14" x14ac:dyDescent="0.3">
      <c r="A109" s="2">
        <f t="shared" si="4"/>
        <v>53.5</v>
      </c>
      <c r="B109" s="2">
        <v>1100.8440000000001</v>
      </c>
      <c r="C109" s="2">
        <v>1001.237</v>
      </c>
      <c r="D109" s="2">
        <v>796.89</v>
      </c>
      <c r="E109" s="2">
        <v>1248.8910000000001</v>
      </c>
      <c r="F109" s="2">
        <f t="shared" si="17"/>
        <v>-963.03449999999998</v>
      </c>
      <c r="G109">
        <f t="shared" si="18"/>
        <v>-45.023999999999887</v>
      </c>
      <c r="H109" s="1">
        <v>1038.973</v>
      </c>
      <c r="I109" s="1">
        <v>968.01099999999997</v>
      </c>
      <c r="J109" s="1">
        <v>1415.1780000000001</v>
      </c>
      <c r="K109" s="1">
        <v>913.28200000000004</v>
      </c>
      <c r="L109" s="2">
        <f t="shared" si="19"/>
        <v>-916.1389999999999</v>
      </c>
      <c r="M109">
        <f t="shared" si="20"/>
        <v>-18.771999999999935</v>
      </c>
      <c r="N109" s="1">
        <v>2553.578</v>
      </c>
      <c r="O109" s="1">
        <v>1151.1320000000001</v>
      </c>
      <c r="P109" s="1">
        <v>1777.9369999999999</v>
      </c>
      <c r="Q109" s="1">
        <v>813.29300000000001</v>
      </c>
      <c r="R109" s="2">
        <f t="shared" si="21"/>
        <v>-426.0150000000001</v>
      </c>
      <c r="S109">
        <f t="shared" si="22"/>
        <v>-34.088999999999942</v>
      </c>
      <c r="T109" s="1">
        <v>1481.394</v>
      </c>
      <c r="U109" s="1">
        <v>900.37800000000004</v>
      </c>
      <c r="V109" s="1">
        <v>1222.866</v>
      </c>
      <c r="W109" s="1">
        <v>1042.675</v>
      </c>
      <c r="X109" s="2">
        <f t="shared" si="23"/>
        <v>-568.0295000000001</v>
      </c>
      <c r="Y109" s="6"/>
      <c r="Z109" s="7"/>
      <c r="AB109" s="6"/>
      <c r="AC109" s="8"/>
      <c r="AD109" s="2">
        <f t="shared" si="24"/>
        <v>-31.147499999999582</v>
      </c>
      <c r="AE109" s="2"/>
      <c r="AF109" s="2"/>
      <c r="AG109" s="2"/>
      <c r="AH109" s="3"/>
      <c r="AI109" s="2"/>
      <c r="AJ109" s="6"/>
      <c r="AK109" s="6"/>
      <c r="AL109" s="6"/>
      <c r="AM109" s="6"/>
      <c r="AN109" s="6"/>
      <c r="AO109" s="6"/>
      <c r="AP109" s="6"/>
      <c r="AQ109" s="8"/>
      <c r="AR109" s="6"/>
      <c r="AS109" s="6"/>
      <c r="AT109" s="6"/>
      <c r="AU109" s="6"/>
      <c r="AV109" s="7"/>
      <c r="AW109" s="7"/>
      <c r="AX109" s="7"/>
      <c r="AY109" s="7"/>
      <c r="AZ109" s="7"/>
      <c r="BA109" s="7"/>
      <c r="BB109" s="6"/>
      <c r="BC109" s="6"/>
      <c r="BD109" s="6"/>
      <c r="BE109" s="6"/>
      <c r="BF109" s="6"/>
      <c r="BG109" s="6"/>
      <c r="BH109" s="6"/>
      <c r="BI109" s="6"/>
      <c r="BJ109" s="6"/>
      <c r="BK109" s="6"/>
      <c r="BL109" s="6"/>
      <c r="BM109" s="6"/>
      <c r="BN109" s="6"/>
      <c r="BO109" s="6"/>
      <c r="BP109" s="6"/>
      <c r="BQ109" s="6"/>
      <c r="BR109" s="6"/>
      <c r="BS109" s="6"/>
      <c r="BT109" s="8"/>
      <c r="BU109" s="6"/>
      <c r="BV109" s="6"/>
      <c r="BW109" s="6"/>
      <c r="BX109" s="8"/>
      <c r="BY109" s="6"/>
      <c r="BZ109" s="7"/>
      <c r="CA109" s="7"/>
      <c r="CB109" s="7"/>
      <c r="CC109" s="7"/>
      <c r="CD109" s="7"/>
      <c r="CE109" s="7"/>
    </row>
    <row r="110" spans="1:83" ht="14" x14ac:dyDescent="0.3">
      <c r="A110" s="2">
        <f t="shared" si="4"/>
        <v>54</v>
      </c>
      <c r="B110" s="3">
        <v>1084.173</v>
      </c>
      <c r="C110" s="2">
        <v>978.28399999999999</v>
      </c>
      <c r="D110" s="2">
        <v>779.01800000000003</v>
      </c>
      <c r="E110" s="2">
        <v>1221.367</v>
      </c>
      <c r="F110" s="2">
        <f t="shared" si="17"/>
        <v>-984.28950000000009</v>
      </c>
      <c r="G110">
        <f t="shared" si="18"/>
        <v>-37.141000000000076</v>
      </c>
      <c r="H110" s="1">
        <v>1027.7070000000001</v>
      </c>
      <c r="I110" s="1">
        <v>955.73299999999995</v>
      </c>
      <c r="J110" s="1">
        <v>1398.7860000000001</v>
      </c>
      <c r="K110" s="1">
        <v>909.85799999999995</v>
      </c>
      <c r="L110" s="2">
        <f t="shared" si="19"/>
        <v>-926.97900000000004</v>
      </c>
      <c r="M110">
        <f t="shared" si="20"/>
        <v>-3.5610000000001492</v>
      </c>
      <c r="N110" s="1">
        <v>2537.0329999999999</v>
      </c>
      <c r="O110" s="1">
        <v>1138.5309999999999</v>
      </c>
      <c r="P110" s="1">
        <v>1758.903</v>
      </c>
      <c r="Q110" s="1">
        <v>801.84100000000001</v>
      </c>
      <c r="R110" s="2">
        <f t="shared" si="21"/>
        <v>-440.923</v>
      </c>
      <c r="S110">
        <f t="shared" si="22"/>
        <v>-29.514999999999873</v>
      </c>
      <c r="T110" s="1">
        <v>1474.223</v>
      </c>
      <c r="U110" s="1">
        <v>889.98099999999999</v>
      </c>
      <c r="V110" s="1">
        <v>1214.3879999999999</v>
      </c>
      <c r="W110" s="1">
        <v>1032.7660000000001</v>
      </c>
      <c r="X110" s="2">
        <f t="shared" si="23"/>
        <v>-579.25975000000017</v>
      </c>
      <c r="Y110" s="6"/>
      <c r="Z110" s="7"/>
      <c r="AB110" s="6"/>
      <c r="AC110" s="8"/>
      <c r="AD110" s="2">
        <f t="shared" si="24"/>
        <v>-18.751999999999953</v>
      </c>
      <c r="AE110" s="2"/>
      <c r="AF110" s="2"/>
      <c r="AG110" s="2"/>
      <c r="AH110" s="2"/>
      <c r="AI110" s="2"/>
      <c r="AJ110" s="6"/>
      <c r="AK110" s="6"/>
      <c r="AL110" s="6"/>
      <c r="AM110" s="6"/>
      <c r="AN110" s="6"/>
      <c r="AO110" s="6"/>
      <c r="AP110" s="6"/>
      <c r="AQ110" s="8"/>
      <c r="AR110" s="6"/>
      <c r="AS110" s="6"/>
      <c r="AT110" s="6"/>
      <c r="AU110" s="6"/>
      <c r="AV110" s="7"/>
      <c r="AW110" s="7"/>
      <c r="AX110" s="7"/>
      <c r="AY110" s="7"/>
      <c r="AZ110" s="7"/>
      <c r="BA110" s="7"/>
      <c r="BB110" s="6"/>
      <c r="BC110" s="6"/>
      <c r="BD110" s="6"/>
      <c r="BE110" s="6"/>
      <c r="BF110" s="6"/>
      <c r="BG110" s="6"/>
      <c r="BH110" s="6"/>
      <c r="BI110" s="6"/>
      <c r="BJ110" s="6"/>
      <c r="BK110" s="6"/>
      <c r="BL110" s="6"/>
      <c r="BM110" s="6"/>
      <c r="BN110" s="6"/>
      <c r="BO110" s="6"/>
      <c r="BP110" s="6"/>
      <c r="BQ110" s="6"/>
      <c r="BR110" s="6"/>
      <c r="BS110" s="6"/>
      <c r="BT110" s="8"/>
      <c r="BU110" s="6"/>
      <c r="BV110" s="6"/>
      <c r="BW110" s="6"/>
      <c r="BX110" s="8"/>
      <c r="BY110" s="6"/>
      <c r="BZ110" s="7"/>
      <c r="CA110" s="7"/>
      <c r="CB110" s="7"/>
      <c r="CC110" s="7"/>
      <c r="CD110" s="7"/>
      <c r="CE110" s="7"/>
    </row>
    <row r="111" spans="1:83" ht="14" x14ac:dyDescent="0.3">
      <c r="A111" s="2">
        <f t="shared" si="4"/>
        <v>54.5</v>
      </c>
      <c r="B111" s="2">
        <v>1064.809</v>
      </c>
      <c r="C111" s="2">
        <v>959.55799999999999</v>
      </c>
      <c r="D111" s="2">
        <v>763.92499999999995</v>
      </c>
      <c r="E111" s="2">
        <v>1184.502</v>
      </c>
      <c r="F111" s="2">
        <f t="shared" si="17"/>
        <v>-1006.8015</v>
      </c>
      <c r="G111">
        <f t="shared" si="18"/>
        <v>-41.475999999999658</v>
      </c>
      <c r="H111" s="1">
        <v>1018.39</v>
      </c>
      <c r="I111" s="1">
        <v>950.32100000000003</v>
      </c>
      <c r="J111" s="1">
        <v>1391.798</v>
      </c>
      <c r="K111" s="1">
        <v>894.03099999999995</v>
      </c>
      <c r="L111" s="2">
        <f t="shared" si="19"/>
        <v>-936.36500000000001</v>
      </c>
      <c r="M111">
        <f t="shared" si="20"/>
        <v>-26.919999999999618</v>
      </c>
      <c r="N111" s="1">
        <v>2509.223</v>
      </c>
      <c r="O111" s="1">
        <v>1127.107</v>
      </c>
      <c r="P111" s="1">
        <v>1738.893</v>
      </c>
      <c r="Q111" s="1">
        <v>792.90700000000004</v>
      </c>
      <c r="R111" s="2">
        <f t="shared" si="21"/>
        <v>-457.96749999999997</v>
      </c>
      <c r="S111">
        <f t="shared" si="22"/>
        <v>19.579499999999825</v>
      </c>
      <c r="T111" s="1">
        <v>1455.7560000000001</v>
      </c>
      <c r="U111" s="1">
        <v>881.04300000000001</v>
      </c>
      <c r="V111" s="1">
        <v>1201.412</v>
      </c>
      <c r="W111" s="1">
        <v>1020.562</v>
      </c>
      <c r="X111" s="2">
        <f t="shared" si="23"/>
        <v>-594.83349999999996</v>
      </c>
      <c r="Y111" s="6"/>
      <c r="Z111" s="7"/>
      <c r="AB111" s="6"/>
      <c r="AC111" s="8"/>
      <c r="AD111" s="2">
        <f t="shared" si="24"/>
        <v>-23.221500000000106</v>
      </c>
      <c r="AE111" s="3"/>
      <c r="AF111" s="2"/>
      <c r="AG111" s="2"/>
      <c r="AH111" s="2"/>
      <c r="AI111" s="2"/>
      <c r="AJ111" s="6"/>
      <c r="AK111" s="6"/>
      <c r="AL111" s="6"/>
      <c r="AM111" s="6"/>
      <c r="AN111" s="6"/>
      <c r="AO111" s="6"/>
      <c r="AP111" s="6"/>
      <c r="AQ111" s="8"/>
      <c r="AR111" s="6"/>
      <c r="AS111" s="6"/>
      <c r="AT111" s="6"/>
      <c r="AU111" s="6"/>
      <c r="AV111" s="7"/>
      <c r="AW111" s="7"/>
      <c r="AX111" s="7"/>
      <c r="AY111" s="7"/>
      <c r="AZ111" s="7"/>
      <c r="BA111" s="7"/>
      <c r="BB111" s="6"/>
      <c r="BC111" s="6"/>
      <c r="BD111" s="6"/>
      <c r="BE111" s="6"/>
      <c r="BF111" s="6"/>
      <c r="BG111" s="6"/>
      <c r="BH111" s="6"/>
      <c r="BI111" s="6"/>
      <c r="BJ111" s="6"/>
      <c r="BK111" s="6"/>
      <c r="BL111" s="6"/>
      <c r="BM111" s="6"/>
      <c r="BN111" s="6"/>
      <c r="BO111" s="6"/>
      <c r="BP111" s="6"/>
      <c r="BQ111" s="6"/>
      <c r="BR111" s="6"/>
      <c r="BS111" s="6"/>
      <c r="BT111" s="8"/>
      <c r="BU111" s="6"/>
      <c r="BV111" s="6"/>
      <c r="BW111" s="6"/>
      <c r="BX111" s="8"/>
      <c r="BY111" s="6"/>
      <c r="BZ111" s="7"/>
      <c r="CA111" s="7"/>
      <c r="CB111" s="7"/>
      <c r="CC111" s="7"/>
      <c r="CD111" s="7"/>
      <c r="CE111" s="7"/>
    </row>
    <row r="112" spans="1:83" ht="14" x14ac:dyDescent="0.3">
      <c r="A112" s="2">
        <f t="shared" si="4"/>
        <v>55</v>
      </c>
      <c r="B112" s="2">
        <v>1049.9079999999999</v>
      </c>
      <c r="C112" s="2">
        <v>939.88699999999994</v>
      </c>
      <c r="D112" s="2">
        <v>751.7</v>
      </c>
      <c r="E112" s="2">
        <v>1157.0170000000001</v>
      </c>
      <c r="F112" s="2">
        <f t="shared" si="17"/>
        <v>-1025.3720000000001</v>
      </c>
      <c r="G112">
        <f t="shared" si="18"/>
        <v>-42.059999999999945</v>
      </c>
      <c r="H112" s="1">
        <v>1014.452</v>
      </c>
      <c r="I112" s="1">
        <v>945.17</v>
      </c>
      <c r="J112" s="1">
        <v>1386.211</v>
      </c>
      <c r="K112" s="1">
        <v>901.58500000000004</v>
      </c>
      <c r="L112" s="2">
        <f t="shared" si="19"/>
        <v>-938.14550000000008</v>
      </c>
      <c r="M112">
        <f t="shared" si="20"/>
        <v>-17.358500000000276</v>
      </c>
      <c r="N112" s="1">
        <v>2484.7289999999998</v>
      </c>
      <c r="O112" s="1">
        <v>1118.867</v>
      </c>
      <c r="P112" s="1">
        <v>1722.288</v>
      </c>
      <c r="Q112" s="1">
        <v>783.21600000000001</v>
      </c>
      <c r="R112" s="2">
        <f t="shared" si="21"/>
        <v>-472.72499999999991</v>
      </c>
      <c r="S112">
        <f t="shared" si="22"/>
        <v>-74.967000000000098</v>
      </c>
      <c r="T112" s="1">
        <v>1449.056</v>
      </c>
      <c r="U112" s="1">
        <v>872.76900000000001</v>
      </c>
      <c r="V112" s="1">
        <v>1194.2840000000001</v>
      </c>
      <c r="W112" s="1">
        <v>1013.014</v>
      </c>
      <c r="X112" s="2">
        <f t="shared" si="23"/>
        <v>-604.20949999999993</v>
      </c>
      <c r="Y112" s="6"/>
      <c r="Z112" s="7"/>
      <c r="AB112" s="6"/>
      <c r="AC112" s="8"/>
      <c r="AD112" s="2">
        <f t="shared" si="24"/>
        <v>-22.728499999999713</v>
      </c>
      <c r="AE112" s="2"/>
      <c r="AF112" s="2"/>
      <c r="AG112" s="2"/>
      <c r="AH112" s="2"/>
      <c r="AI112" s="2"/>
      <c r="AJ112" s="6"/>
      <c r="AK112" s="6"/>
      <c r="AL112" s="6"/>
      <c r="AM112" s="6"/>
      <c r="AN112" s="6"/>
      <c r="AO112" s="9"/>
      <c r="AP112" s="6"/>
      <c r="AQ112" s="8"/>
      <c r="AR112" s="6"/>
      <c r="AS112" s="6"/>
      <c r="AT112" s="6"/>
      <c r="AU112" s="6"/>
      <c r="AV112" s="7"/>
      <c r="AW112" s="7"/>
      <c r="AX112" s="7"/>
      <c r="AY112" s="7"/>
      <c r="AZ112" s="7"/>
      <c r="BA112" s="7"/>
      <c r="BB112" s="6"/>
      <c r="BC112" s="6"/>
      <c r="BD112" s="6"/>
      <c r="BE112" s="6"/>
      <c r="BF112" s="6"/>
      <c r="BG112" s="6"/>
      <c r="BH112" s="6"/>
      <c r="BI112" s="6"/>
      <c r="BJ112" s="6"/>
      <c r="BK112" s="6"/>
      <c r="BL112" s="6"/>
      <c r="BM112" s="6"/>
      <c r="BN112" s="8"/>
      <c r="BO112" s="6"/>
      <c r="BP112" s="6"/>
      <c r="BQ112" s="6"/>
      <c r="BR112" s="6"/>
      <c r="BS112" s="6"/>
      <c r="BT112" s="8"/>
      <c r="BU112" s="6"/>
      <c r="BV112" s="6"/>
      <c r="BW112" s="6"/>
      <c r="BX112" s="8"/>
      <c r="BY112" s="6"/>
      <c r="BZ112" s="7"/>
      <c r="CA112" s="7"/>
      <c r="CB112" s="7"/>
      <c r="CC112" s="7"/>
      <c r="CD112" s="7"/>
      <c r="CE112" s="7"/>
    </row>
    <row r="113" spans="1:83" ht="14" x14ac:dyDescent="0.3">
      <c r="A113" s="2">
        <f t="shared" si="4"/>
        <v>55.5</v>
      </c>
      <c r="B113" s="2">
        <v>1031.4100000000001</v>
      </c>
      <c r="C113" s="2">
        <v>923.31100000000004</v>
      </c>
      <c r="D113" s="2">
        <v>738.06100000000004</v>
      </c>
      <c r="E113" s="2">
        <v>1122.778</v>
      </c>
      <c r="F113" s="2">
        <f t="shared" si="17"/>
        <v>-1046.1099999999999</v>
      </c>
      <c r="G113">
        <f t="shared" si="18"/>
        <v>-31.030500000000302</v>
      </c>
      <c r="H113" s="1">
        <v>1006.079</v>
      </c>
      <c r="I113" s="1">
        <v>932.73</v>
      </c>
      <c r="J113" s="1">
        <v>1371.2139999999999</v>
      </c>
      <c r="K113" s="1">
        <v>883.55499999999995</v>
      </c>
      <c r="L113" s="2">
        <f t="shared" si="19"/>
        <v>-951.60549999999989</v>
      </c>
      <c r="M113">
        <f t="shared" si="20"/>
        <v>-13.126499999999851</v>
      </c>
      <c r="N113" s="1">
        <v>2561.5059999999999</v>
      </c>
      <c r="O113" s="1">
        <v>1109.557</v>
      </c>
      <c r="P113" s="1">
        <v>1703.0029999999999</v>
      </c>
      <c r="Q113" s="1">
        <v>774.19299999999998</v>
      </c>
      <c r="R113" s="2">
        <f t="shared" si="21"/>
        <v>-462.93525</v>
      </c>
      <c r="S113">
        <f t="shared" si="22"/>
        <v>-24.711999999999989</v>
      </c>
      <c r="T113" s="1">
        <v>1439.6310000000001</v>
      </c>
      <c r="U113" s="1">
        <v>864.05799999999999</v>
      </c>
      <c r="V113" s="1">
        <v>1184.4860000000001</v>
      </c>
      <c r="W113" s="1">
        <v>1002.745</v>
      </c>
      <c r="X113" s="2">
        <f t="shared" si="23"/>
        <v>-615.82024999999999</v>
      </c>
      <c r="Y113" s="6"/>
      <c r="Z113" s="7"/>
      <c r="AB113" s="6"/>
      <c r="AC113" s="8"/>
      <c r="AD113" s="2">
        <f t="shared" si="24"/>
        <v>-28.961500000000342</v>
      </c>
      <c r="AE113" s="2"/>
      <c r="AF113" s="2"/>
      <c r="AG113" s="2"/>
      <c r="AH113" s="2"/>
      <c r="AI113" s="2"/>
      <c r="AJ113" s="6"/>
      <c r="AK113" s="6"/>
      <c r="AL113" s="6"/>
      <c r="AM113" s="6"/>
      <c r="AN113" s="6"/>
      <c r="AO113" s="6"/>
      <c r="AP113" s="6"/>
      <c r="AQ113" s="8"/>
      <c r="AR113" s="6"/>
      <c r="AS113" s="6"/>
      <c r="AT113" s="6"/>
      <c r="AU113" s="6"/>
      <c r="AV113" s="7"/>
      <c r="AW113" s="7"/>
      <c r="AX113" s="7"/>
      <c r="AY113" s="7"/>
      <c r="AZ113" s="7"/>
      <c r="BA113" s="7"/>
      <c r="BB113" s="6"/>
      <c r="BC113" s="6"/>
      <c r="BD113" s="6"/>
      <c r="BE113" s="6"/>
      <c r="BF113" s="6"/>
      <c r="BG113" s="6"/>
      <c r="BH113" s="6"/>
      <c r="BI113" s="6"/>
      <c r="BJ113" s="6"/>
      <c r="BK113" s="6"/>
      <c r="BL113" s="6"/>
      <c r="BM113" s="6"/>
      <c r="BN113" s="8"/>
      <c r="BO113" s="6"/>
      <c r="BP113" s="6"/>
      <c r="BQ113" s="6"/>
      <c r="BR113" s="6"/>
      <c r="BS113" s="6"/>
      <c r="BT113" s="8"/>
      <c r="BU113" s="6"/>
      <c r="BV113" s="6"/>
      <c r="BW113" s="6"/>
      <c r="BX113" s="8"/>
      <c r="BY113" s="6"/>
      <c r="BZ113" s="7"/>
      <c r="CA113" s="7"/>
      <c r="CB113" s="7"/>
      <c r="CC113" s="7"/>
      <c r="CD113" s="7"/>
      <c r="CE113" s="7"/>
    </row>
    <row r="114" spans="1:83" ht="14" x14ac:dyDescent="0.3">
      <c r="A114" s="2">
        <f t="shared" si="4"/>
        <v>56</v>
      </c>
      <c r="B114" s="2">
        <v>1010.6420000000001</v>
      </c>
      <c r="C114" s="2">
        <v>900.42499999999995</v>
      </c>
      <c r="D114" s="2">
        <v>724.46100000000001</v>
      </c>
      <c r="E114" s="2">
        <v>1095.912</v>
      </c>
      <c r="F114" s="2">
        <f t="shared" si="17"/>
        <v>-1067.1399999999999</v>
      </c>
      <c r="G114">
        <f t="shared" si="18"/>
        <v>-35.148499999999785</v>
      </c>
      <c r="H114" s="1">
        <v>997.76900000000001</v>
      </c>
      <c r="I114" s="1">
        <v>924.73299999999995</v>
      </c>
      <c r="J114" s="1">
        <v>1360.885</v>
      </c>
      <c r="K114" s="1">
        <v>875.47400000000005</v>
      </c>
      <c r="L114" s="2">
        <f t="shared" si="19"/>
        <v>-960.28475000000003</v>
      </c>
      <c r="M114">
        <f t="shared" si="20"/>
        <v>-25.483500000000049</v>
      </c>
      <c r="N114" s="1">
        <v>2445.1350000000002</v>
      </c>
      <c r="O114" s="1">
        <v>1098.973</v>
      </c>
      <c r="P114" s="1">
        <v>1687.798</v>
      </c>
      <c r="Q114" s="1">
        <v>766.41899999999998</v>
      </c>
      <c r="R114" s="2">
        <f t="shared" si="21"/>
        <v>-500.41875000000005</v>
      </c>
      <c r="S114">
        <f t="shared" si="22"/>
        <v>-18.790500000000065</v>
      </c>
      <c r="T114" s="1">
        <v>1432.1120000000001</v>
      </c>
      <c r="U114" s="1">
        <v>855.30600000000004</v>
      </c>
      <c r="V114" s="1">
        <v>1174.269</v>
      </c>
      <c r="W114" s="1">
        <v>993.07100000000003</v>
      </c>
      <c r="X114" s="2">
        <f t="shared" si="23"/>
        <v>-627.18449999999984</v>
      </c>
      <c r="Y114" s="6"/>
      <c r="Z114" s="7"/>
      <c r="AB114" s="6"/>
      <c r="AC114" s="8"/>
      <c r="AD114" s="2">
        <f t="shared" si="24"/>
        <v>-14.518500000000131</v>
      </c>
      <c r="AE114" s="2"/>
      <c r="AF114" s="2"/>
      <c r="AG114" s="2"/>
      <c r="AH114" s="2"/>
      <c r="AI114" s="2"/>
      <c r="AJ114" s="6"/>
      <c r="AK114" s="6"/>
      <c r="AL114" s="6"/>
      <c r="AM114" s="6"/>
      <c r="AN114" s="6"/>
      <c r="AO114" s="6"/>
      <c r="AP114" s="6"/>
      <c r="AQ114" s="8"/>
      <c r="AR114" s="6"/>
      <c r="AS114" s="6"/>
      <c r="AT114" s="6"/>
      <c r="AU114" s="6"/>
      <c r="AV114" s="7"/>
      <c r="AW114" s="7"/>
      <c r="AX114" s="7"/>
      <c r="AY114" s="7"/>
      <c r="AZ114" s="7"/>
      <c r="BA114" s="7"/>
      <c r="BB114" s="6"/>
      <c r="BC114" s="6"/>
      <c r="BD114" s="6"/>
      <c r="BE114" s="6"/>
      <c r="BF114" s="6"/>
      <c r="BG114" s="6"/>
      <c r="BH114" s="6"/>
      <c r="BI114" s="6"/>
      <c r="BJ114" s="6"/>
      <c r="BK114" s="6"/>
      <c r="BL114" s="6"/>
      <c r="BM114" s="6"/>
      <c r="BN114" s="8"/>
      <c r="BO114" s="6"/>
      <c r="BP114" s="6"/>
      <c r="BQ114" s="6"/>
      <c r="BR114" s="6"/>
      <c r="BS114" s="9"/>
      <c r="BT114" s="8"/>
      <c r="BU114" s="6"/>
      <c r="BV114" s="6"/>
      <c r="BW114" s="6"/>
      <c r="BX114" s="8"/>
      <c r="BY114" s="6"/>
      <c r="BZ114" s="7"/>
      <c r="CA114" s="7"/>
      <c r="CB114" s="7"/>
      <c r="CC114" s="7"/>
      <c r="CD114" s="7"/>
      <c r="CE114" s="7"/>
    </row>
    <row r="115" spans="1:83" ht="14" x14ac:dyDescent="0.3">
      <c r="A115" s="2">
        <f t="shared" si="4"/>
        <v>56.5</v>
      </c>
      <c r="B115" s="2">
        <v>995.78300000000002</v>
      </c>
      <c r="C115" s="2">
        <v>886.44200000000001</v>
      </c>
      <c r="D115" s="2">
        <v>713.86599999999999</v>
      </c>
      <c r="E115" s="2">
        <v>1073.288</v>
      </c>
      <c r="F115" s="2">
        <f t="shared" si="17"/>
        <v>-1082.65525</v>
      </c>
      <c r="G115">
        <f t="shared" si="18"/>
        <v>-32.958999999999833</v>
      </c>
      <c r="H115" s="1">
        <v>991.87199999999996</v>
      </c>
      <c r="I115" s="1">
        <v>915.67899999999997</v>
      </c>
      <c r="J115" s="1">
        <v>1349.672</v>
      </c>
      <c r="K115" s="1">
        <v>875.38499999999999</v>
      </c>
      <c r="L115" s="2">
        <f t="shared" si="19"/>
        <v>-966.84799999999996</v>
      </c>
      <c r="M115">
        <f t="shared" si="20"/>
        <v>-10.97400000000016</v>
      </c>
      <c r="N115" s="1">
        <v>2425.886</v>
      </c>
      <c r="O115" s="1">
        <v>1091.6489999999999</v>
      </c>
      <c r="P115" s="1">
        <v>1670.7650000000001</v>
      </c>
      <c r="Q115" s="1">
        <v>760.601</v>
      </c>
      <c r="R115" s="2">
        <f t="shared" si="21"/>
        <v>-512.77475000000004</v>
      </c>
      <c r="S115">
        <f t="shared" si="22"/>
        <v>-22.067999999999302</v>
      </c>
      <c r="T115" s="1">
        <v>1416.527</v>
      </c>
      <c r="U115" s="10">
        <v>845.37599999999998</v>
      </c>
      <c r="V115" s="1">
        <v>1163.03</v>
      </c>
      <c r="W115" s="1">
        <v>983.41200000000003</v>
      </c>
      <c r="X115" s="2">
        <f t="shared" si="23"/>
        <v>-641.66525000000001</v>
      </c>
      <c r="Y115" s="6"/>
      <c r="Z115" s="7"/>
      <c r="AB115" s="6"/>
      <c r="AC115" s="8"/>
      <c r="AD115" s="2">
        <f t="shared" si="24"/>
        <v>-22.356499999999869</v>
      </c>
      <c r="AE115" s="2"/>
      <c r="AF115" s="2"/>
      <c r="AG115" s="3"/>
      <c r="AH115" s="2"/>
      <c r="AI115" s="2"/>
      <c r="AJ115" s="6"/>
      <c r="AK115" s="6"/>
      <c r="AL115" s="6"/>
      <c r="AM115" s="6"/>
      <c r="AN115" s="6"/>
      <c r="AO115" s="6"/>
      <c r="AP115" s="6"/>
      <c r="AQ115" s="8"/>
      <c r="AR115" s="6"/>
      <c r="AS115" s="6"/>
      <c r="AT115" s="6"/>
      <c r="AU115" s="9"/>
      <c r="AV115" s="7"/>
      <c r="AW115" s="7"/>
      <c r="AX115" s="7"/>
      <c r="AY115" s="7"/>
      <c r="AZ115" s="7"/>
      <c r="BA115" s="7"/>
      <c r="BB115" s="6"/>
      <c r="BC115" s="6"/>
      <c r="BD115" s="6"/>
      <c r="BE115" s="6"/>
      <c r="BF115" s="6"/>
      <c r="BG115" s="6"/>
      <c r="BH115" s="6"/>
      <c r="BI115" s="6"/>
      <c r="BJ115" s="6"/>
      <c r="BK115" s="6"/>
      <c r="BL115" s="6"/>
      <c r="BM115" s="6"/>
      <c r="BN115" s="8"/>
      <c r="BO115" s="6"/>
      <c r="BP115" s="6"/>
      <c r="BQ115" s="6"/>
      <c r="BR115" s="6"/>
      <c r="BS115" s="6"/>
      <c r="BT115" s="8"/>
      <c r="BU115" s="6"/>
      <c r="BV115" s="6"/>
      <c r="BW115" s="6"/>
      <c r="BX115" s="8"/>
      <c r="BY115" s="6"/>
      <c r="BZ115" s="7"/>
      <c r="CA115" s="7"/>
      <c r="CB115" s="7"/>
      <c r="CC115" s="7"/>
      <c r="CD115" s="7"/>
      <c r="CE115" s="7"/>
    </row>
    <row r="116" spans="1:83" ht="14" x14ac:dyDescent="0.3">
      <c r="A116" s="2">
        <f t="shared" si="4"/>
        <v>57</v>
      </c>
      <c r="B116" s="2">
        <v>978.63</v>
      </c>
      <c r="C116" s="2">
        <v>872.64499999999998</v>
      </c>
      <c r="D116" s="2">
        <v>704.39800000000002</v>
      </c>
      <c r="E116" s="2">
        <v>1043.4090000000001</v>
      </c>
      <c r="F116" s="2">
        <f t="shared" si="17"/>
        <v>-1100.2294999999999</v>
      </c>
      <c r="G116">
        <f t="shared" si="18"/>
        <v>-26.893000000000484</v>
      </c>
      <c r="H116" s="1">
        <v>982.40700000000004</v>
      </c>
      <c r="I116" s="1">
        <v>906.51800000000003</v>
      </c>
      <c r="J116" s="1">
        <v>1338.596</v>
      </c>
      <c r="K116" s="1">
        <v>854.12</v>
      </c>
      <c r="L116" s="2">
        <f t="shared" si="19"/>
        <v>-979.58974999999998</v>
      </c>
      <c r="M116">
        <f t="shared" si="20"/>
        <v>-14.185500000000047</v>
      </c>
      <c r="N116" s="1">
        <v>2412.806</v>
      </c>
      <c r="O116" s="1">
        <v>1083.4280000000001</v>
      </c>
      <c r="P116" s="1">
        <v>1660.95</v>
      </c>
      <c r="Q116" s="1">
        <v>754.13599999999997</v>
      </c>
      <c r="R116" s="2">
        <f t="shared" si="21"/>
        <v>-522.17000000000007</v>
      </c>
      <c r="S116">
        <f t="shared" si="22"/>
        <v>-24.833000000000993</v>
      </c>
      <c r="T116" s="1">
        <v>1408.412</v>
      </c>
      <c r="U116" s="1">
        <v>840.38900000000001</v>
      </c>
      <c r="V116" s="1">
        <v>1157.556</v>
      </c>
      <c r="W116" s="1">
        <v>974.73400000000004</v>
      </c>
      <c r="X116" s="2">
        <f t="shared" si="23"/>
        <v>-648.92450000000008</v>
      </c>
      <c r="Y116" s="6"/>
      <c r="Z116" s="7"/>
      <c r="AB116" s="6"/>
      <c r="AC116" s="8"/>
      <c r="AD116" s="2">
        <f t="shared" si="24"/>
        <v>-16.614999999999782</v>
      </c>
      <c r="AE116" s="2"/>
      <c r="AF116" s="2"/>
      <c r="AG116" s="2"/>
      <c r="AH116" s="2"/>
      <c r="AI116" s="2"/>
      <c r="AJ116" s="6"/>
      <c r="AK116" s="6"/>
      <c r="AL116" s="6"/>
      <c r="AM116" s="6"/>
      <c r="AN116" s="6"/>
      <c r="AO116" s="6"/>
      <c r="AP116" s="6"/>
      <c r="AQ116" s="8"/>
      <c r="AR116" s="6"/>
      <c r="AS116" s="6"/>
      <c r="AT116" s="6"/>
      <c r="AU116" s="6"/>
      <c r="AV116" s="7"/>
      <c r="AW116" s="7"/>
      <c r="AX116" s="7"/>
      <c r="AY116" s="7"/>
      <c r="AZ116" s="7"/>
      <c r="BA116" s="7"/>
      <c r="BB116" s="6"/>
      <c r="BC116" s="6"/>
      <c r="BD116" s="6"/>
      <c r="BE116" s="6"/>
      <c r="BF116" s="6"/>
      <c r="BG116" s="6"/>
      <c r="BH116" s="6"/>
      <c r="BI116" s="6"/>
      <c r="BJ116" s="6"/>
      <c r="BK116" s="6"/>
      <c r="BL116" s="6"/>
      <c r="BM116" s="6"/>
      <c r="BN116" s="8"/>
      <c r="BO116" s="6"/>
      <c r="BP116" s="6"/>
      <c r="BQ116" s="6"/>
      <c r="BR116" s="6"/>
      <c r="BS116" s="9"/>
      <c r="BT116" s="8"/>
      <c r="BU116" s="6"/>
      <c r="BV116" s="6"/>
      <c r="BW116" s="6"/>
      <c r="BX116" s="8"/>
      <c r="BY116" s="6"/>
      <c r="BZ116" s="7"/>
      <c r="CA116" s="7"/>
      <c r="CB116" s="7"/>
      <c r="CC116" s="7"/>
      <c r="CD116" s="7"/>
      <c r="CE116" s="7"/>
    </row>
    <row r="117" spans="1:83" ht="14" x14ac:dyDescent="0.3">
      <c r="A117" s="2">
        <f t="shared" si="4"/>
        <v>57.5</v>
      </c>
      <c r="B117" s="2">
        <v>966.62400000000002</v>
      </c>
      <c r="C117" s="2">
        <v>852.08900000000006</v>
      </c>
      <c r="D117" s="2">
        <v>692.67600000000004</v>
      </c>
      <c r="E117" s="2">
        <v>1021.775</v>
      </c>
      <c r="F117" s="2">
        <f t="shared" si="17"/>
        <v>-1116.7089999999998</v>
      </c>
      <c r="G117">
        <f t="shared" si="18"/>
        <v>-30.694500000000062</v>
      </c>
      <c r="H117" s="10">
        <v>976.40300000000002</v>
      </c>
      <c r="I117" s="1">
        <v>898.78599999999994</v>
      </c>
      <c r="J117" s="1">
        <v>1330.1890000000001</v>
      </c>
      <c r="K117" s="1">
        <v>854.31500000000005</v>
      </c>
      <c r="L117" s="2">
        <f t="shared" si="19"/>
        <v>-985.07675000000006</v>
      </c>
      <c r="M117">
        <f t="shared" si="20"/>
        <v>-11.214999999999918</v>
      </c>
      <c r="N117" s="1">
        <v>2398.384</v>
      </c>
      <c r="O117" s="1">
        <v>1074.4159999999999</v>
      </c>
      <c r="P117" s="1">
        <v>1647.239</v>
      </c>
      <c r="Q117" s="2">
        <v>747.14499999999998</v>
      </c>
      <c r="R117" s="2">
        <f t="shared" si="21"/>
        <v>-533.20399999999972</v>
      </c>
      <c r="S117">
        <f t="shared" si="22"/>
        <v>-15.995499999999538</v>
      </c>
      <c r="T117" s="1">
        <v>1396.6769999999999</v>
      </c>
      <c r="U117" s="1">
        <v>833.00800000000004</v>
      </c>
      <c r="V117" s="1">
        <v>1148.4480000000001</v>
      </c>
      <c r="W117" s="1">
        <v>961.73</v>
      </c>
      <c r="X117" s="2">
        <f t="shared" si="23"/>
        <v>-660.10275000000001</v>
      </c>
      <c r="Y117" s="6"/>
      <c r="Z117" s="7"/>
      <c r="AB117" s="6"/>
      <c r="AC117" s="8"/>
      <c r="AD117" s="2">
        <f t="shared" si="24"/>
        <v>-16.978599999999915</v>
      </c>
      <c r="AE117" s="2"/>
      <c r="AF117" s="2"/>
      <c r="AG117" s="2"/>
      <c r="AH117" s="2"/>
      <c r="AI117" s="2"/>
      <c r="AJ117" s="6"/>
      <c r="AK117" s="6"/>
      <c r="AL117" s="6"/>
      <c r="AM117" s="6"/>
      <c r="AN117" s="6"/>
      <c r="AO117" s="6"/>
      <c r="AP117" s="6"/>
      <c r="AQ117" s="8"/>
      <c r="AR117" s="6"/>
      <c r="AS117" s="6"/>
      <c r="AT117" s="9"/>
      <c r="AU117" s="6"/>
      <c r="AV117" s="7"/>
      <c r="AW117" s="7"/>
      <c r="AX117" s="7"/>
      <c r="AY117" s="7"/>
      <c r="AZ117" s="7"/>
      <c r="BA117" s="7"/>
      <c r="BB117" s="6"/>
      <c r="BC117" s="6"/>
      <c r="BD117" s="6"/>
      <c r="BE117" s="6"/>
      <c r="BF117" s="6"/>
      <c r="BG117" s="6"/>
      <c r="BH117" s="9"/>
      <c r="BI117" s="6"/>
      <c r="BJ117" s="8"/>
      <c r="BK117" s="6"/>
      <c r="BL117" s="6"/>
      <c r="BM117" s="6"/>
      <c r="BN117" s="6"/>
      <c r="BO117" s="6"/>
      <c r="BP117" s="6"/>
      <c r="BQ117" s="6"/>
      <c r="BR117" s="6"/>
      <c r="BS117" s="6"/>
      <c r="BT117" s="8"/>
      <c r="BU117" s="6"/>
      <c r="BV117" s="6"/>
      <c r="BW117" s="6"/>
      <c r="BX117" s="8"/>
      <c r="BY117" s="6"/>
      <c r="BZ117" s="7"/>
      <c r="CA117" s="7"/>
      <c r="CB117" s="7"/>
      <c r="CC117" s="7"/>
      <c r="CD117" s="7"/>
      <c r="CE117" s="7"/>
    </row>
    <row r="118" spans="1:83" ht="14" x14ac:dyDescent="0.3">
      <c r="A118" s="2">
        <f t="shared" si="4"/>
        <v>58</v>
      </c>
      <c r="B118" s="2">
        <v>951.97699999999998</v>
      </c>
      <c r="C118" s="3">
        <v>840.94600000000003</v>
      </c>
      <c r="D118" s="2">
        <v>683.57600000000002</v>
      </c>
      <c r="E118" s="2">
        <v>1002.879</v>
      </c>
      <c r="F118" s="2">
        <f t="shared" si="17"/>
        <v>-1130.1555000000001</v>
      </c>
      <c r="G118">
        <f t="shared" si="18"/>
        <v>-21.730999999999767</v>
      </c>
      <c r="H118" s="10">
        <v>968.55399999999997</v>
      </c>
      <c r="I118" s="1">
        <v>891.88199999999995</v>
      </c>
      <c r="J118" s="1">
        <v>1322.6769999999999</v>
      </c>
      <c r="K118" s="1">
        <v>848.20899999999995</v>
      </c>
      <c r="L118" s="2">
        <f t="shared" si="19"/>
        <v>-992.16950000000008</v>
      </c>
      <c r="M118">
        <f t="shared" si="20"/>
        <v>-17.346999999999753</v>
      </c>
      <c r="N118" s="1">
        <v>2375.6819999999998</v>
      </c>
      <c r="O118" s="1">
        <v>1069.3489999999999</v>
      </c>
      <c r="P118" s="1">
        <v>1631.3589999999999</v>
      </c>
      <c r="Q118" s="3">
        <v>741.12800000000004</v>
      </c>
      <c r="R118" s="2">
        <f t="shared" si="21"/>
        <v>-545.62050000000022</v>
      </c>
      <c r="S118">
        <f t="shared" si="22"/>
        <v>-21.273000000000138</v>
      </c>
      <c r="T118" s="1">
        <v>1389.471</v>
      </c>
      <c r="U118" s="1">
        <v>826.78599999999994</v>
      </c>
      <c r="V118" s="1">
        <v>1141.6579999999999</v>
      </c>
      <c r="W118" s="1">
        <v>957.63599999999997</v>
      </c>
      <c r="X118" s="2">
        <f t="shared" si="23"/>
        <v>-668.41024999999991</v>
      </c>
      <c r="Y118" s="6"/>
      <c r="Z118" s="7"/>
      <c r="AB118" s="6"/>
      <c r="AC118" s="8"/>
      <c r="AD118" s="2">
        <f t="shared" si="24"/>
        <v>-22.101400000000467</v>
      </c>
      <c r="AE118" s="2"/>
      <c r="AF118" s="2"/>
      <c r="AG118" s="2"/>
      <c r="AH118" s="2"/>
      <c r="AI118" s="2"/>
      <c r="AJ118" s="6"/>
      <c r="AK118" s="6"/>
      <c r="AL118" s="6"/>
      <c r="AM118" s="6"/>
      <c r="AN118" s="6"/>
      <c r="AO118" s="6"/>
      <c r="AP118" s="6"/>
      <c r="AQ118" s="8"/>
      <c r="AR118" s="6"/>
      <c r="AS118" s="6"/>
      <c r="AT118" s="6"/>
      <c r="AU118" s="6"/>
      <c r="AV118" s="7"/>
      <c r="AW118" s="7"/>
      <c r="AX118" s="7"/>
      <c r="AY118" s="7"/>
      <c r="AZ118" s="7"/>
      <c r="BA118" s="7"/>
      <c r="BB118" s="6"/>
      <c r="BC118" s="6"/>
      <c r="BD118" s="8"/>
      <c r="BE118" s="6"/>
      <c r="BF118" s="6"/>
      <c r="BG118" s="6"/>
      <c r="BH118" s="6"/>
      <c r="BI118" s="6"/>
      <c r="BJ118" s="8"/>
      <c r="BK118" s="6"/>
      <c r="BL118" s="6"/>
      <c r="BM118" s="6"/>
      <c r="BN118" s="6"/>
      <c r="BO118" s="6"/>
      <c r="BP118" s="6"/>
      <c r="BQ118" s="6"/>
      <c r="BR118" s="6"/>
      <c r="BS118" s="6"/>
      <c r="BT118" s="8"/>
      <c r="BU118" s="6"/>
      <c r="BV118" s="6"/>
      <c r="BW118" s="6"/>
      <c r="BX118" s="8"/>
      <c r="BY118" s="6"/>
      <c r="BZ118" s="7"/>
      <c r="CA118" s="7"/>
      <c r="CB118" s="7"/>
      <c r="CC118" s="7"/>
      <c r="CD118" s="7"/>
      <c r="CE118" s="7"/>
    </row>
    <row r="119" spans="1:83" ht="14" x14ac:dyDescent="0.3">
      <c r="A119" s="2">
        <f t="shared" si="4"/>
        <v>58.5</v>
      </c>
      <c r="B119" s="2">
        <v>938.50599999999997</v>
      </c>
      <c r="C119" s="2">
        <v>826.505</v>
      </c>
      <c r="D119" s="2">
        <v>674.25900000000001</v>
      </c>
      <c r="E119" s="2">
        <v>978.71900000000005</v>
      </c>
      <c r="F119" s="2">
        <f t="shared" si="17"/>
        <v>-1145.5027500000001</v>
      </c>
      <c r="G119">
        <f t="shared" si="18"/>
        <v>-20.580500000000029</v>
      </c>
      <c r="H119" s="1">
        <v>963.89200000000005</v>
      </c>
      <c r="I119" s="1">
        <v>884.49099999999999</v>
      </c>
      <c r="J119" s="1">
        <v>1311.8620000000001</v>
      </c>
      <c r="K119" s="1">
        <v>848.64700000000005</v>
      </c>
      <c r="L119" s="2">
        <f t="shared" si="19"/>
        <v>-997.77700000000004</v>
      </c>
      <c r="M119">
        <f t="shared" si="20"/>
        <v>-17.696500000000242</v>
      </c>
      <c r="N119" s="1">
        <v>2367.4960000000001</v>
      </c>
      <c r="O119" s="1">
        <v>1061.4780000000001</v>
      </c>
      <c r="P119" s="1">
        <v>1620.588</v>
      </c>
      <c r="Q119" s="3">
        <v>735.96500000000003</v>
      </c>
      <c r="R119" s="2">
        <f t="shared" si="21"/>
        <v>-553.61824999999999</v>
      </c>
      <c r="S119">
        <f t="shared" si="22"/>
        <v>-15.272500000000036</v>
      </c>
      <c r="T119" s="1">
        <v>1383.539</v>
      </c>
      <c r="U119" s="1">
        <v>820.88499999999999</v>
      </c>
      <c r="V119" s="1">
        <v>1133.5463999999999</v>
      </c>
      <c r="W119" s="1">
        <v>951.63099999999997</v>
      </c>
      <c r="X119" s="2">
        <f t="shared" si="23"/>
        <v>-676.89954999999986</v>
      </c>
      <c r="Y119" s="6"/>
      <c r="Z119" s="7"/>
      <c r="AB119" s="6"/>
      <c r="AC119" s="8"/>
      <c r="AD119" s="2">
        <f t="shared" si="24"/>
        <v>-18.960000000000036</v>
      </c>
      <c r="AE119" s="2"/>
      <c r="AF119" s="2"/>
      <c r="AG119" s="2"/>
      <c r="AH119" s="2"/>
      <c r="AI119" s="2"/>
      <c r="AJ119" s="6"/>
      <c r="AK119" s="6"/>
      <c r="AL119" s="6"/>
      <c r="AM119" s="6"/>
      <c r="AN119" s="6"/>
      <c r="AO119" s="6"/>
      <c r="AP119" s="9"/>
      <c r="AQ119" s="8"/>
      <c r="AR119" s="6"/>
      <c r="AS119" s="6"/>
      <c r="AT119" s="6"/>
      <c r="AU119" s="6"/>
      <c r="AV119" s="7"/>
      <c r="AW119" s="7"/>
      <c r="AX119" s="7"/>
      <c r="AY119" s="7"/>
      <c r="AZ119" s="7"/>
      <c r="BA119" s="7"/>
      <c r="BB119" s="6"/>
      <c r="BC119" s="6"/>
      <c r="BD119" s="8"/>
      <c r="BE119" s="6"/>
      <c r="BF119" s="6"/>
      <c r="BG119" s="6"/>
      <c r="BH119" s="6"/>
      <c r="BI119" s="6"/>
      <c r="BJ119" s="8"/>
      <c r="BK119" s="6"/>
      <c r="BL119" s="6"/>
      <c r="BM119" s="6"/>
      <c r="BN119" s="6"/>
      <c r="BO119" s="6"/>
      <c r="BP119" s="6"/>
      <c r="BQ119" s="6"/>
      <c r="BR119" s="9"/>
      <c r="BS119" s="6"/>
      <c r="BT119" s="8"/>
      <c r="BU119" s="6"/>
      <c r="BV119" s="6"/>
      <c r="BW119" s="6"/>
      <c r="BX119" s="8"/>
      <c r="BY119" s="6"/>
      <c r="BZ119" s="7"/>
      <c r="CA119" s="7"/>
      <c r="CB119" s="7"/>
      <c r="CC119" s="7"/>
      <c r="CD119" s="7"/>
      <c r="CE119" s="7"/>
    </row>
    <row r="120" spans="1:83" ht="14" x14ac:dyDescent="0.3">
      <c r="A120" s="2">
        <f t="shared" si="4"/>
        <v>59</v>
      </c>
      <c r="B120" s="2">
        <v>929.72299999999996</v>
      </c>
      <c r="C120" s="2">
        <v>816.09</v>
      </c>
      <c r="D120" s="2">
        <v>667.14200000000005</v>
      </c>
      <c r="E120" s="2">
        <v>961.572</v>
      </c>
      <c r="F120" s="2">
        <f t="shared" si="17"/>
        <v>-1156.36825</v>
      </c>
      <c r="G120">
        <f t="shared" si="18"/>
        <v>-24.429000000000087</v>
      </c>
      <c r="H120" s="10">
        <v>958.82600000000002</v>
      </c>
      <c r="I120" s="1">
        <v>876.95299999999997</v>
      </c>
      <c r="J120" s="1">
        <v>1302.0050000000001</v>
      </c>
      <c r="K120" s="1">
        <v>836.41399999999999</v>
      </c>
      <c r="L120" s="2">
        <f t="shared" si="19"/>
        <v>-1006.4504999999999</v>
      </c>
      <c r="M120">
        <f t="shared" si="20"/>
        <v>-19.577999999999747</v>
      </c>
      <c r="N120" s="1">
        <v>2353.319</v>
      </c>
      <c r="O120" s="1">
        <v>1052.4570000000001</v>
      </c>
      <c r="P120" s="1">
        <v>1608.4390000000001</v>
      </c>
      <c r="Q120" s="2">
        <v>728.76599999999996</v>
      </c>
      <c r="R120" s="2">
        <f t="shared" si="21"/>
        <v>-564.25475000000006</v>
      </c>
      <c r="S120">
        <f t="shared" si="22"/>
        <v>-18.646999999999935</v>
      </c>
      <c r="T120" s="1">
        <v>1372.7329999999999</v>
      </c>
      <c r="U120" s="1">
        <v>811.62099999999998</v>
      </c>
      <c r="V120" s="1">
        <v>1126.1120000000001</v>
      </c>
      <c r="W120" s="1">
        <v>942.61400000000003</v>
      </c>
      <c r="X120" s="2">
        <f t="shared" si="23"/>
        <v>-687.9502500000001</v>
      </c>
      <c r="Y120" s="6"/>
      <c r="Z120" s="7"/>
      <c r="AB120" s="6"/>
      <c r="AC120" s="8"/>
      <c r="AD120" s="2">
        <f t="shared" si="24"/>
        <v>-11.826999999999771</v>
      </c>
      <c r="AE120" s="2"/>
      <c r="AF120" s="2"/>
      <c r="AG120" s="2"/>
      <c r="AH120" s="2"/>
      <c r="AI120" s="2"/>
      <c r="AJ120" s="6"/>
      <c r="AK120" s="6"/>
      <c r="AL120" s="6"/>
      <c r="AM120" s="6"/>
      <c r="AN120" s="6"/>
      <c r="AO120" s="6"/>
      <c r="AP120" s="6"/>
      <c r="AQ120" s="8"/>
      <c r="AR120" s="6"/>
      <c r="AS120" s="6"/>
      <c r="AT120" s="6"/>
      <c r="AU120" s="6"/>
      <c r="AV120" s="7"/>
      <c r="AW120" s="7"/>
      <c r="AX120" s="7"/>
      <c r="AY120" s="7"/>
      <c r="AZ120" s="7"/>
      <c r="BA120" s="7"/>
      <c r="BB120" s="6"/>
      <c r="BC120" s="6"/>
      <c r="BD120" s="6"/>
      <c r="BE120" s="6"/>
      <c r="BF120" s="6"/>
      <c r="BG120" s="6"/>
      <c r="BH120" s="6"/>
      <c r="BI120" s="6"/>
      <c r="BJ120" s="8"/>
      <c r="BK120" s="6"/>
      <c r="BL120" s="6"/>
      <c r="BM120" s="6"/>
      <c r="BN120" s="6"/>
      <c r="BO120" s="6"/>
      <c r="BP120" s="6"/>
      <c r="BQ120" s="6"/>
      <c r="BR120" s="6"/>
      <c r="BS120" s="6"/>
      <c r="BT120" s="8"/>
      <c r="BU120" s="8"/>
      <c r="BV120" s="6"/>
      <c r="BW120" s="6"/>
      <c r="BX120" s="8"/>
      <c r="BY120" s="6"/>
      <c r="BZ120" s="7"/>
      <c r="CA120" s="7"/>
      <c r="CB120" s="7"/>
      <c r="CC120" s="7"/>
      <c r="CD120" s="7"/>
      <c r="CE120" s="7"/>
    </row>
    <row r="121" spans="1:83" ht="14" x14ac:dyDescent="0.3">
      <c r="A121" s="2">
        <f t="shared" si="4"/>
        <v>59.5</v>
      </c>
      <c r="B121" s="2">
        <v>918.20699999999999</v>
      </c>
      <c r="C121" s="2">
        <v>807.245</v>
      </c>
      <c r="D121" s="2">
        <v>659.28499999999997</v>
      </c>
      <c r="E121" s="2">
        <v>948.62900000000002</v>
      </c>
      <c r="F121" s="2">
        <f t="shared" si="17"/>
        <v>-1166.6585</v>
      </c>
      <c r="G121">
        <f t="shared" si="18"/>
        <v>-16.002999999999702</v>
      </c>
      <c r="H121" s="1">
        <v>950.02499999999998</v>
      </c>
      <c r="I121" s="1">
        <v>869.24199999999996</v>
      </c>
      <c r="J121" s="1">
        <v>1291.1579999999999</v>
      </c>
      <c r="K121" s="1">
        <v>828.38</v>
      </c>
      <c r="L121" s="2">
        <f t="shared" si="19"/>
        <v>-1015.29875</v>
      </c>
      <c r="M121">
        <f t="shared" si="20"/>
        <v>-9.6325000000001637</v>
      </c>
      <c r="N121" s="1">
        <v>2343.52</v>
      </c>
      <c r="O121" s="1">
        <v>1047.75</v>
      </c>
      <c r="P121" s="1">
        <v>1598.57</v>
      </c>
      <c r="Q121" s="2">
        <v>722.596</v>
      </c>
      <c r="R121" s="2">
        <f t="shared" si="21"/>
        <v>-571.89100000000008</v>
      </c>
      <c r="S121">
        <f t="shared" si="22"/>
        <v>-13.918999999999414</v>
      </c>
      <c r="T121" s="1">
        <v>1365.271</v>
      </c>
      <c r="U121" s="1">
        <v>804.62800000000004</v>
      </c>
      <c r="V121" s="1">
        <v>1117.876</v>
      </c>
      <c r="W121" s="1">
        <v>936.97400000000005</v>
      </c>
      <c r="X121" s="2">
        <f t="shared" si="23"/>
        <v>-697.43025000000011</v>
      </c>
      <c r="Y121" s="6"/>
      <c r="Z121" s="7"/>
      <c r="AB121" s="6"/>
      <c r="AC121" s="8"/>
      <c r="AD121" s="2">
        <f t="shared" si="24"/>
        <v>12.428499999999985</v>
      </c>
      <c r="AE121" s="2"/>
      <c r="AF121" s="2"/>
      <c r="AG121" s="2"/>
      <c r="AH121" s="2"/>
      <c r="AI121" s="2"/>
      <c r="AJ121" s="6"/>
      <c r="AK121" s="6"/>
      <c r="AL121" s="6"/>
      <c r="AM121" s="6"/>
      <c r="AN121" s="6"/>
      <c r="AO121" s="6"/>
      <c r="AP121" s="6"/>
      <c r="AQ121" s="8"/>
      <c r="AR121" s="6"/>
      <c r="AS121" s="6"/>
      <c r="AT121" s="6"/>
      <c r="AU121" s="6"/>
      <c r="AV121" s="7"/>
      <c r="AW121" s="7"/>
      <c r="AX121" s="7"/>
      <c r="AY121" s="7"/>
      <c r="AZ121" s="7"/>
      <c r="BA121" s="7"/>
      <c r="BB121" s="6"/>
      <c r="BC121" s="6"/>
      <c r="BD121" s="6"/>
      <c r="BE121" s="6"/>
      <c r="BF121" s="6"/>
      <c r="BG121" s="6"/>
      <c r="BH121" s="6"/>
      <c r="BI121" s="6"/>
      <c r="BJ121" s="8"/>
      <c r="BK121" s="6"/>
      <c r="BL121" s="6"/>
      <c r="BM121" s="6"/>
      <c r="BN121" s="6"/>
      <c r="BO121" s="6"/>
      <c r="BP121" s="6"/>
      <c r="BQ121" s="6"/>
      <c r="BR121" s="6"/>
      <c r="BS121" s="6"/>
      <c r="BT121" s="8"/>
      <c r="BU121" s="8"/>
      <c r="BV121" s="6"/>
      <c r="BW121" s="8"/>
      <c r="BX121" s="8"/>
      <c r="BY121" s="6"/>
      <c r="BZ121" s="7"/>
      <c r="CA121" s="7"/>
      <c r="CB121" s="7"/>
      <c r="CC121" s="7"/>
      <c r="CD121" s="11"/>
      <c r="CE121" s="7"/>
    </row>
    <row r="122" spans="1:83" ht="14" x14ac:dyDescent="0.3">
      <c r="A122" s="2">
        <f t="shared" si="4"/>
        <v>60</v>
      </c>
      <c r="B122" s="2">
        <v>906.50099999999998</v>
      </c>
      <c r="C122" s="2">
        <v>794.93100000000004</v>
      </c>
      <c r="D122" s="2">
        <v>652.96199999999999</v>
      </c>
      <c r="E122" s="2">
        <v>930.11400000000003</v>
      </c>
      <c r="F122" s="2">
        <f t="shared" si="17"/>
        <v>-1178.873</v>
      </c>
      <c r="G122">
        <f t="shared" si="18"/>
        <v>-16.684000000000196</v>
      </c>
      <c r="H122" s="1">
        <v>941.49</v>
      </c>
      <c r="I122" s="1">
        <v>859.25699999999995</v>
      </c>
      <c r="J122" s="1">
        <v>1281.633</v>
      </c>
      <c r="K122" s="1">
        <v>817.26900000000001</v>
      </c>
      <c r="L122" s="2">
        <f t="shared" si="19"/>
        <v>-1025.0877499999999</v>
      </c>
      <c r="M122">
        <f t="shared" si="20"/>
        <v>-3.1734999999998763</v>
      </c>
      <c r="N122" s="1">
        <v>2326.819</v>
      </c>
      <c r="O122" s="1">
        <v>1042.0509999999999</v>
      </c>
      <c r="P122" s="1">
        <v>1588.8530000000001</v>
      </c>
      <c r="Q122" s="1">
        <v>717.41899999999998</v>
      </c>
      <c r="R122" s="2">
        <f t="shared" si="21"/>
        <v>-581.21450000000004</v>
      </c>
      <c r="S122">
        <f t="shared" si="22"/>
        <v>-18.005000000000564</v>
      </c>
      <c r="T122" s="1">
        <v>1359.2829999999999</v>
      </c>
      <c r="U122" s="1">
        <v>801.44399999999996</v>
      </c>
      <c r="V122" s="1">
        <v>1112.2270000000001</v>
      </c>
      <c r="W122" s="1">
        <v>929.33399999999995</v>
      </c>
      <c r="X122" s="2">
        <f t="shared" si="23"/>
        <v>-703.34375</v>
      </c>
      <c r="Y122" s="6"/>
      <c r="Z122" s="7"/>
      <c r="AB122" s="6"/>
      <c r="AC122" s="8"/>
      <c r="AD122" s="2">
        <f t="shared" si="24"/>
        <v>-46.475000000000364</v>
      </c>
      <c r="AE122" s="3"/>
      <c r="AF122" s="2"/>
      <c r="AG122" s="2"/>
      <c r="AH122" s="2"/>
      <c r="AI122" s="2"/>
      <c r="AJ122" s="6"/>
      <c r="AK122" s="6"/>
      <c r="AL122" s="6"/>
      <c r="AM122" s="6"/>
      <c r="AN122" s="6"/>
      <c r="AO122" s="6"/>
      <c r="AP122" s="6"/>
      <c r="AQ122" s="8"/>
      <c r="AR122" s="6"/>
      <c r="AS122" s="6"/>
      <c r="AT122" s="6"/>
      <c r="AU122" s="6"/>
      <c r="AV122" s="7"/>
      <c r="AW122" s="7"/>
      <c r="AX122" s="7"/>
      <c r="AY122" s="7"/>
      <c r="AZ122" s="7"/>
      <c r="BA122" s="7"/>
      <c r="BB122" s="6"/>
      <c r="BC122" s="6"/>
      <c r="BD122" s="6"/>
      <c r="BE122" s="6"/>
      <c r="BF122" s="6"/>
      <c r="BG122" s="6"/>
      <c r="BH122" s="6"/>
      <c r="BI122" s="6"/>
      <c r="BJ122" s="6"/>
      <c r="BK122" s="6"/>
      <c r="BL122" s="6"/>
      <c r="BM122" s="6"/>
      <c r="BN122" s="6"/>
      <c r="BO122" s="6"/>
      <c r="BP122" s="6"/>
      <c r="BQ122" s="6"/>
      <c r="BR122" s="6"/>
      <c r="BS122" s="6"/>
      <c r="BT122" s="8"/>
      <c r="BU122" s="8"/>
      <c r="BV122" s="6"/>
      <c r="BW122" s="8"/>
      <c r="BX122" s="8"/>
      <c r="BY122" s="6"/>
      <c r="BZ122" s="7"/>
      <c r="CA122" s="7"/>
      <c r="CB122" s="7"/>
      <c r="CC122" s="7"/>
      <c r="CD122" s="7"/>
      <c r="CE122" s="7"/>
    </row>
    <row r="123" spans="1:83" ht="14" x14ac:dyDescent="0.3">
      <c r="A123" s="2">
        <f t="shared" si="4"/>
        <v>60.5</v>
      </c>
      <c r="B123" s="2">
        <v>899.26400000000001</v>
      </c>
      <c r="C123" s="2">
        <v>788.60599999999999</v>
      </c>
      <c r="D123" s="2">
        <v>646.90800000000002</v>
      </c>
      <c r="E123" s="2">
        <v>917.72400000000005</v>
      </c>
      <c r="F123" s="2">
        <f t="shared" si="17"/>
        <v>-1186.8744999999999</v>
      </c>
      <c r="G123">
        <f t="shared" si="18"/>
        <v>-17.443500000000313</v>
      </c>
      <c r="H123" s="1">
        <v>937.05499999999995</v>
      </c>
      <c r="I123" s="1">
        <v>854.95699999999999</v>
      </c>
      <c r="J123" s="1">
        <v>1275.9690000000001</v>
      </c>
      <c r="K123" s="1">
        <v>812.40300000000002</v>
      </c>
      <c r="L123" s="2">
        <f t="shared" si="19"/>
        <v>-1029.904</v>
      </c>
      <c r="M123">
        <f t="shared" si="20"/>
        <v>-11.170500000000175</v>
      </c>
      <c r="N123" s="1">
        <v>2319.7890000000002</v>
      </c>
      <c r="O123" s="1">
        <v>1035.1500000000001</v>
      </c>
      <c r="P123" s="1">
        <v>1579.511</v>
      </c>
      <c r="Q123" s="1">
        <v>712.85400000000004</v>
      </c>
      <c r="R123" s="2">
        <f t="shared" si="21"/>
        <v>-588.17399999999975</v>
      </c>
      <c r="S123">
        <f t="shared" si="22"/>
        <v>-15.743999999999687</v>
      </c>
      <c r="T123" s="1">
        <v>1341.55</v>
      </c>
      <c r="U123" s="1">
        <v>794.11099999999999</v>
      </c>
      <c r="V123" s="1">
        <v>1140.855</v>
      </c>
      <c r="W123" s="1">
        <v>921.06799999999998</v>
      </c>
      <c r="X123" s="2">
        <f t="shared" si="23"/>
        <v>-697.12950000000001</v>
      </c>
      <c r="Y123" s="6"/>
      <c r="Z123" s="7"/>
      <c r="AB123" s="6"/>
      <c r="AC123" s="8"/>
      <c r="AD123" s="2">
        <f t="shared" si="24"/>
        <v>-9.6814999999996871</v>
      </c>
      <c r="AE123" s="2"/>
      <c r="AF123" s="2"/>
      <c r="AG123" s="2"/>
      <c r="AH123" s="2"/>
      <c r="AI123" s="2"/>
      <c r="AJ123" s="6"/>
      <c r="AK123" s="6"/>
      <c r="AL123" s="6"/>
      <c r="AM123" s="6"/>
      <c r="AN123" s="6"/>
      <c r="AO123" s="6"/>
      <c r="AP123" s="6"/>
      <c r="AQ123" s="8"/>
      <c r="AR123" s="6"/>
      <c r="AS123" s="6"/>
      <c r="AT123" s="6"/>
      <c r="AU123" s="6"/>
      <c r="AV123" s="7"/>
      <c r="AW123" s="7"/>
      <c r="AX123" s="7"/>
      <c r="AY123" s="7"/>
      <c r="AZ123" s="7"/>
      <c r="BA123" s="7"/>
      <c r="BB123" s="6"/>
      <c r="BC123" s="6"/>
      <c r="BD123" s="6"/>
      <c r="BE123" s="6"/>
      <c r="BF123" s="6"/>
      <c r="BG123" s="6"/>
      <c r="BH123" s="6"/>
      <c r="BI123" s="6"/>
      <c r="BJ123" s="6"/>
      <c r="BK123" s="9"/>
      <c r="BL123" s="6"/>
      <c r="BM123" s="6"/>
      <c r="BN123" s="6"/>
      <c r="BO123" s="6"/>
      <c r="BP123" s="6"/>
      <c r="BQ123" s="6"/>
      <c r="BR123" s="6"/>
      <c r="BS123" s="6"/>
      <c r="BT123" s="8"/>
      <c r="BU123" s="8"/>
      <c r="BV123" s="6"/>
      <c r="BW123" s="8"/>
      <c r="BX123" s="8"/>
      <c r="BY123" s="6"/>
      <c r="BZ123" s="7"/>
      <c r="CA123" s="7"/>
      <c r="CB123" s="7"/>
      <c r="CC123" s="7"/>
      <c r="CD123" s="7"/>
      <c r="CE123" s="7"/>
    </row>
    <row r="124" spans="1:83" ht="14" x14ac:dyDescent="0.3">
      <c r="A124" s="2">
        <f t="shared" si="4"/>
        <v>61</v>
      </c>
      <c r="B124" s="2">
        <v>889.39300000000003</v>
      </c>
      <c r="C124" s="2">
        <v>780.06299999999999</v>
      </c>
      <c r="D124" s="2">
        <v>641.91700000000003</v>
      </c>
      <c r="E124" s="2">
        <v>907.76099999999997</v>
      </c>
      <c r="F124" s="2">
        <f t="shared" si="17"/>
        <v>-1195.2165</v>
      </c>
      <c r="G124">
        <f t="shared" si="18"/>
        <v>-14.043499999999767</v>
      </c>
      <c r="H124" s="1">
        <v>934.43200000000002</v>
      </c>
      <c r="I124" s="1">
        <v>850.721</v>
      </c>
      <c r="J124" s="1">
        <v>1270.596</v>
      </c>
      <c r="K124" s="1">
        <v>818.28800000000001</v>
      </c>
      <c r="L124" s="2">
        <f t="shared" si="19"/>
        <v>-1031.4907499999999</v>
      </c>
      <c r="M124">
        <f t="shared" si="20"/>
        <v>-8.7809999999999491</v>
      </c>
      <c r="N124" s="1">
        <v>2304.6379999999999</v>
      </c>
      <c r="O124" s="1">
        <v>1029.8050000000001</v>
      </c>
      <c r="P124" s="1">
        <v>1568.8430000000001</v>
      </c>
      <c r="Q124" s="1">
        <v>708.00800000000004</v>
      </c>
      <c r="R124" s="2">
        <f t="shared" si="21"/>
        <v>-597.17650000000003</v>
      </c>
      <c r="S124">
        <f t="shared" si="22"/>
        <v>-12.453500000000076</v>
      </c>
      <c r="T124" s="1">
        <v>1342.9639999999999</v>
      </c>
      <c r="U124" s="1">
        <v>789.16499999999996</v>
      </c>
      <c r="V124" s="1">
        <v>1098.6189999999999</v>
      </c>
      <c r="W124" s="1">
        <v>914.53899999999999</v>
      </c>
      <c r="X124" s="2">
        <f t="shared" si="23"/>
        <v>-720.36700000000019</v>
      </c>
      <c r="Y124" s="6"/>
      <c r="Z124" s="7"/>
      <c r="AB124" s="6"/>
      <c r="AC124" s="8"/>
      <c r="AD124" s="2">
        <f t="shared" si="24"/>
        <v>-11.830500000000029</v>
      </c>
      <c r="AE124" s="2"/>
      <c r="AF124" s="2"/>
      <c r="AG124" s="2"/>
      <c r="AH124" s="2"/>
      <c r="AI124" s="2"/>
      <c r="AJ124" s="6"/>
      <c r="AK124" s="6"/>
      <c r="AL124" s="6"/>
      <c r="AM124" s="6"/>
      <c r="AN124" s="6"/>
      <c r="AO124" s="6"/>
      <c r="AP124" s="6"/>
      <c r="AQ124" s="8"/>
      <c r="AR124" s="6"/>
      <c r="AS124" s="6"/>
      <c r="AT124" s="9"/>
      <c r="AU124" s="6"/>
      <c r="AV124" s="7"/>
      <c r="AW124" s="7"/>
      <c r="AX124" s="7"/>
      <c r="AY124" s="7"/>
      <c r="AZ124" s="7"/>
      <c r="BA124" s="7"/>
      <c r="BB124" s="6"/>
      <c r="BC124" s="6"/>
      <c r="BD124" s="6"/>
      <c r="BE124" s="6"/>
      <c r="BF124" s="6"/>
      <c r="BG124" s="6"/>
      <c r="BH124" s="6"/>
      <c r="BI124" s="6"/>
      <c r="BJ124" s="6"/>
      <c r="BK124" s="6"/>
      <c r="BL124" s="6"/>
      <c r="BM124" s="6"/>
      <c r="BN124" s="6"/>
      <c r="BO124" s="6"/>
      <c r="BP124" s="6"/>
      <c r="BQ124" s="6"/>
      <c r="BR124" s="6"/>
      <c r="BS124" s="6"/>
      <c r="BT124" s="8"/>
      <c r="BU124" s="8"/>
      <c r="BV124" s="6"/>
      <c r="BW124" s="8"/>
      <c r="BX124" s="8"/>
      <c r="BY124" s="6"/>
      <c r="BZ124" s="7"/>
      <c r="CA124" s="7"/>
      <c r="CB124" s="7"/>
      <c r="CC124" s="7"/>
      <c r="CD124" s="7"/>
      <c r="CE124" s="7"/>
    </row>
    <row r="125" spans="1:83" ht="14" x14ac:dyDescent="0.3">
      <c r="A125" s="2">
        <f t="shared" si="4"/>
        <v>61.5</v>
      </c>
      <c r="B125" s="2">
        <v>879.80799999999999</v>
      </c>
      <c r="C125" s="2">
        <v>771.60799999999995</v>
      </c>
      <c r="D125" s="2">
        <v>637.06600000000003</v>
      </c>
      <c r="E125" s="2">
        <v>895.76499999999999</v>
      </c>
      <c r="F125" s="2">
        <f t="shared" si="17"/>
        <v>-1203.9382500000002</v>
      </c>
      <c r="G125">
        <f t="shared" si="18"/>
        <v>-13.927999999999884</v>
      </c>
      <c r="H125" s="1">
        <v>928.58199999999999</v>
      </c>
      <c r="I125" s="1">
        <v>846.39200000000005</v>
      </c>
      <c r="J125" s="1">
        <v>1263.7349999999999</v>
      </c>
      <c r="K125" s="1">
        <v>812.98699999999997</v>
      </c>
      <c r="L125" s="2">
        <f t="shared" si="19"/>
        <v>-1037.076</v>
      </c>
      <c r="M125">
        <f t="shared" si="20"/>
        <v>-3.1670000000003711</v>
      </c>
      <c r="N125" s="1">
        <v>2293.9870000000001</v>
      </c>
      <c r="O125" s="1">
        <v>1024.268</v>
      </c>
      <c r="P125" s="1">
        <v>1559.29</v>
      </c>
      <c r="Q125" s="1">
        <v>702.26099999999997</v>
      </c>
      <c r="R125" s="2">
        <f t="shared" si="21"/>
        <v>-605.04849999999988</v>
      </c>
      <c r="S125">
        <f t="shared" si="22"/>
        <v>-13.175999999999931</v>
      </c>
      <c r="T125" s="1">
        <v>1343.1790000000001</v>
      </c>
      <c r="U125" s="1">
        <v>784.58399999999995</v>
      </c>
      <c r="V125" s="1">
        <v>1093.4110000000001</v>
      </c>
      <c r="W125" s="1">
        <v>904.25199999999995</v>
      </c>
      <c r="X125" s="2">
        <f t="shared" si="23"/>
        <v>-725.20775000000003</v>
      </c>
      <c r="Y125" s="6"/>
      <c r="Z125" s="7"/>
      <c r="AB125" s="6"/>
      <c r="AC125" s="8"/>
      <c r="AD125" s="2">
        <f t="shared" si="24"/>
        <v>-17.069500000000062</v>
      </c>
      <c r="AE125" s="2"/>
      <c r="AF125" s="2"/>
      <c r="AG125" s="2"/>
      <c r="AH125" s="2"/>
      <c r="AI125" s="2"/>
      <c r="AJ125" s="6"/>
      <c r="AK125" s="6"/>
      <c r="AL125" s="6"/>
      <c r="AM125" s="6"/>
      <c r="AN125" s="6"/>
      <c r="AO125" s="6"/>
      <c r="AP125" s="6"/>
      <c r="AQ125" s="8"/>
      <c r="AR125" s="6"/>
      <c r="AS125" s="6"/>
      <c r="AT125" s="6"/>
      <c r="AU125" s="6"/>
      <c r="AV125" s="7"/>
      <c r="AW125" s="7"/>
      <c r="AX125" s="7"/>
      <c r="AY125" s="7"/>
      <c r="AZ125" s="7"/>
      <c r="BA125" s="7"/>
      <c r="BB125" s="6"/>
      <c r="BC125" s="6"/>
      <c r="BD125" s="6"/>
      <c r="BE125" s="6"/>
      <c r="BF125" s="6"/>
      <c r="BG125" s="6"/>
      <c r="BH125" s="6"/>
      <c r="BI125" s="6"/>
      <c r="BJ125" s="6"/>
      <c r="BK125" s="6"/>
      <c r="BL125" s="6"/>
      <c r="BM125" s="6"/>
      <c r="BN125" s="6"/>
      <c r="BO125" s="6"/>
      <c r="BP125" s="6"/>
      <c r="BQ125" s="6"/>
      <c r="BR125" s="6"/>
      <c r="BS125" s="6"/>
      <c r="BT125" s="8"/>
      <c r="BU125" s="8"/>
      <c r="BV125" s="6"/>
      <c r="BW125" s="8"/>
      <c r="BX125" s="8"/>
      <c r="BY125" s="6"/>
      <c r="BZ125" s="7"/>
      <c r="CA125" s="7"/>
      <c r="CB125" s="7"/>
      <c r="CC125" s="7"/>
      <c r="CD125" s="7"/>
      <c r="CE125" s="7"/>
    </row>
    <row r="126" spans="1:83" ht="14" x14ac:dyDescent="0.3">
      <c r="A126" s="2">
        <f t="shared" si="4"/>
        <v>62</v>
      </c>
      <c r="B126" s="2">
        <v>873.81399999999996</v>
      </c>
      <c r="C126" s="2">
        <v>764.3</v>
      </c>
      <c r="D126" s="2">
        <v>631.803</v>
      </c>
      <c r="E126" s="2">
        <v>886.24300000000005</v>
      </c>
      <c r="F126" s="2">
        <f t="shared" si="17"/>
        <v>-1210.96</v>
      </c>
      <c r="G126">
        <f t="shared" si="18"/>
        <v>-13.201000000000022</v>
      </c>
      <c r="H126" s="1">
        <v>925.29100000000005</v>
      </c>
      <c r="I126" s="1">
        <v>841.02700000000004</v>
      </c>
      <c r="J126" s="1">
        <v>1258.259</v>
      </c>
      <c r="K126" s="1">
        <v>809.55700000000002</v>
      </c>
      <c r="L126" s="2">
        <f t="shared" si="19"/>
        <v>-1041.4665</v>
      </c>
      <c r="M126">
        <f t="shared" si="20"/>
        <v>-21.988999999999578</v>
      </c>
      <c r="N126" s="1">
        <v>2279.8609999999999</v>
      </c>
      <c r="O126" s="1">
        <v>1022.577</v>
      </c>
      <c r="P126" s="1">
        <v>1553.0440000000001</v>
      </c>
      <c r="Q126" s="1">
        <v>699.41700000000003</v>
      </c>
      <c r="R126" s="2">
        <f t="shared" si="21"/>
        <v>-611.27524999999991</v>
      </c>
      <c r="S126">
        <f t="shared" si="22"/>
        <v>-9.6430000000004839</v>
      </c>
      <c r="T126" s="1">
        <v>1334.66</v>
      </c>
      <c r="U126" s="1">
        <v>780.625</v>
      </c>
      <c r="V126" s="1">
        <v>1089.799</v>
      </c>
      <c r="W126" s="1">
        <v>904.36500000000001</v>
      </c>
      <c r="X126" s="2">
        <f t="shared" si="23"/>
        <v>-731.12300000000005</v>
      </c>
      <c r="Y126" s="6"/>
      <c r="Z126" s="7"/>
      <c r="AB126" s="6"/>
      <c r="AC126" s="8"/>
      <c r="AD126" s="2">
        <f t="shared" si="24"/>
        <v>-9.975999999999658</v>
      </c>
      <c r="AE126" s="2"/>
      <c r="AF126" s="2"/>
      <c r="AG126" s="2"/>
      <c r="AH126" s="2"/>
      <c r="AI126" s="2"/>
      <c r="AJ126" s="6"/>
      <c r="AK126" s="6"/>
      <c r="AL126" s="6"/>
      <c r="AM126" s="6"/>
      <c r="AN126" s="6"/>
      <c r="AO126" s="6"/>
      <c r="AP126" s="6"/>
      <c r="AQ126" s="8"/>
      <c r="AR126" s="6"/>
      <c r="AS126" s="6"/>
      <c r="AT126" s="6"/>
      <c r="AU126" s="6"/>
      <c r="AV126" s="7"/>
      <c r="AW126" s="7"/>
      <c r="AX126" s="7"/>
      <c r="AY126" s="7"/>
      <c r="AZ126" s="7"/>
      <c r="BA126" s="7"/>
      <c r="BB126" s="6"/>
      <c r="BC126" s="6"/>
      <c r="BD126" s="6"/>
      <c r="BE126" s="6"/>
      <c r="BF126" s="6"/>
      <c r="BG126" s="6"/>
      <c r="BH126" s="6"/>
      <c r="BI126" s="6"/>
      <c r="BJ126" s="6"/>
      <c r="BK126" s="6"/>
      <c r="BL126" s="6"/>
      <c r="BM126" s="6"/>
      <c r="BN126" s="6"/>
      <c r="BO126" s="6"/>
      <c r="BP126" s="6"/>
      <c r="BQ126" s="6"/>
      <c r="BR126" s="6"/>
      <c r="BS126" s="6"/>
      <c r="BT126" s="8"/>
      <c r="BU126" s="8"/>
      <c r="BV126" s="6"/>
      <c r="BW126" s="8"/>
      <c r="BX126" s="8"/>
      <c r="BY126" s="6"/>
      <c r="BZ126" s="7"/>
      <c r="CA126" s="7"/>
      <c r="CB126" s="7"/>
      <c r="CC126" s="7"/>
      <c r="CD126" s="7"/>
      <c r="CE126" s="7"/>
    </row>
    <row r="127" spans="1:83" ht="14" x14ac:dyDescent="0.3">
      <c r="A127" s="2">
        <f t="shared" si="4"/>
        <v>62.5</v>
      </c>
      <c r="B127" s="2">
        <v>865.87900000000002</v>
      </c>
      <c r="C127" s="2">
        <v>757.95699999999999</v>
      </c>
      <c r="D127" s="2">
        <v>627.08900000000006</v>
      </c>
      <c r="E127" s="2">
        <v>877.37900000000002</v>
      </c>
      <c r="F127" s="2">
        <f t="shared" si="17"/>
        <v>-1217.924</v>
      </c>
      <c r="G127">
        <f t="shared" si="18"/>
        <v>-147.46050000000014</v>
      </c>
      <c r="H127" s="1">
        <v>920.35</v>
      </c>
      <c r="I127" s="1">
        <v>853.78300000000002</v>
      </c>
      <c r="J127" s="1">
        <v>1251.25</v>
      </c>
      <c r="K127" s="1">
        <v>802.41700000000003</v>
      </c>
      <c r="L127" s="2">
        <f t="shared" si="19"/>
        <v>-1043.0500000000002</v>
      </c>
      <c r="M127">
        <f t="shared" si="20"/>
        <v>-5.2785000000003492</v>
      </c>
      <c r="N127" s="1">
        <v>2275.1320000000001</v>
      </c>
      <c r="O127" s="1">
        <v>1016.092</v>
      </c>
      <c r="P127" s="1">
        <v>1542.357</v>
      </c>
      <c r="Q127" s="1">
        <v>694.96600000000001</v>
      </c>
      <c r="R127" s="2">
        <f t="shared" si="21"/>
        <v>-617.86324999999988</v>
      </c>
      <c r="S127">
        <f t="shared" si="22"/>
        <v>-13.594499999999698</v>
      </c>
      <c r="T127" s="1">
        <v>1326.799</v>
      </c>
      <c r="U127" s="1">
        <v>774.41600000000005</v>
      </c>
      <c r="V127" s="1">
        <v>1082.8689999999999</v>
      </c>
      <c r="W127" s="1">
        <v>898.08500000000004</v>
      </c>
      <c r="X127" s="2">
        <f t="shared" si="23"/>
        <v>-739.65775000000008</v>
      </c>
      <c r="Y127" s="6"/>
      <c r="Z127" s="7"/>
      <c r="AB127" s="6"/>
      <c r="AC127" s="8"/>
      <c r="AD127" s="2">
        <f t="shared" si="24"/>
        <v>8.1464999999998327</v>
      </c>
      <c r="AE127" s="2"/>
      <c r="AF127" s="2"/>
      <c r="AG127" s="2"/>
      <c r="AH127" s="2"/>
      <c r="AI127" s="2"/>
      <c r="AJ127" s="6"/>
      <c r="AK127" s="6"/>
      <c r="AL127" s="6"/>
      <c r="AM127" s="6"/>
      <c r="AN127" s="6"/>
      <c r="AO127" s="6"/>
      <c r="AP127" s="6"/>
      <c r="AQ127" s="8"/>
      <c r="AR127" s="6"/>
      <c r="AS127" s="6"/>
      <c r="AT127" s="6"/>
      <c r="AU127" s="6"/>
      <c r="AV127" s="7"/>
      <c r="AW127" s="7"/>
      <c r="AX127" s="7"/>
      <c r="AY127" s="7"/>
      <c r="AZ127" s="7"/>
      <c r="BA127" s="7"/>
      <c r="BB127" s="6"/>
      <c r="BC127" s="6"/>
      <c r="BD127" s="6"/>
      <c r="BE127" s="6"/>
      <c r="BF127" s="6"/>
      <c r="BG127" s="6"/>
      <c r="BH127" s="6"/>
      <c r="BI127" s="6"/>
      <c r="BJ127" s="6"/>
      <c r="BK127" s="6"/>
      <c r="BL127" s="6"/>
      <c r="BM127" s="6"/>
      <c r="BN127" s="6"/>
      <c r="BO127" s="6"/>
      <c r="BP127" s="6"/>
      <c r="BQ127" s="6"/>
      <c r="BR127" s="6"/>
      <c r="BS127" s="6"/>
      <c r="BT127" s="8"/>
      <c r="BU127" s="8"/>
      <c r="BV127" s="6"/>
      <c r="BW127" s="8"/>
      <c r="BX127" s="8"/>
      <c r="BY127" s="6"/>
      <c r="BZ127" s="7"/>
      <c r="CA127" s="7"/>
      <c r="CB127" s="7"/>
      <c r="CC127" s="7"/>
      <c r="CD127" s="7"/>
      <c r="CE127" s="7"/>
    </row>
    <row r="128" spans="1:83" ht="14" x14ac:dyDescent="0.3">
      <c r="A128" s="2">
        <f t="shared" si="4"/>
        <v>63</v>
      </c>
      <c r="B128" s="2">
        <v>858.78899999999999</v>
      </c>
      <c r="C128" s="2">
        <v>753.51700000000005</v>
      </c>
      <c r="D128" s="2">
        <v>622.46</v>
      </c>
      <c r="E128" s="2">
        <v>867.13599999999997</v>
      </c>
      <c r="F128" s="2">
        <f t="shared" si="17"/>
        <v>-1224.5245</v>
      </c>
      <c r="G128">
        <f t="shared" si="18"/>
        <v>122.08800000000019</v>
      </c>
      <c r="H128" s="1">
        <v>915.98699999999997</v>
      </c>
      <c r="I128" s="1">
        <v>829.29899999999998</v>
      </c>
      <c r="J128" s="1">
        <v>1243.846</v>
      </c>
      <c r="K128" s="1">
        <v>794.69</v>
      </c>
      <c r="L128" s="2">
        <f t="shared" si="19"/>
        <v>-1054.0445</v>
      </c>
      <c r="M128">
        <f t="shared" si="20"/>
        <v>-15.478999999999814</v>
      </c>
      <c r="N128" s="1">
        <v>2265.2429999999999</v>
      </c>
      <c r="O128" s="1">
        <v>1015.29</v>
      </c>
      <c r="P128" s="1">
        <v>1537.1089999999999</v>
      </c>
      <c r="Q128" s="1">
        <v>691.61900000000003</v>
      </c>
      <c r="R128" s="2">
        <f t="shared" si="21"/>
        <v>-622.68475000000012</v>
      </c>
      <c r="S128">
        <f t="shared" si="22"/>
        <v>-11.641000000000076</v>
      </c>
      <c r="T128" s="1">
        <v>1323.7909999999999</v>
      </c>
      <c r="U128" s="1">
        <v>770.54899999999998</v>
      </c>
      <c r="V128" s="1">
        <v>1078.2639999999999</v>
      </c>
      <c r="W128" s="1">
        <v>893.79200000000003</v>
      </c>
      <c r="X128" s="2">
        <f t="shared" si="23"/>
        <v>-744.64574999999991</v>
      </c>
      <c r="Y128" s="6"/>
      <c r="Z128" s="7"/>
      <c r="AB128" s="6"/>
      <c r="AC128" s="8"/>
      <c r="AD128" s="2">
        <f t="shared" si="24"/>
        <v>-31.978499999999713</v>
      </c>
      <c r="AE128" s="2"/>
      <c r="AF128" s="2"/>
      <c r="AG128" s="2"/>
      <c r="AH128" s="2"/>
      <c r="AI128" s="2"/>
      <c r="AJ128" s="6"/>
      <c r="AK128" s="6"/>
      <c r="AL128" s="6"/>
      <c r="AM128" s="6"/>
      <c r="AN128" s="6"/>
      <c r="AO128" s="6"/>
      <c r="AP128" s="6"/>
      <c r="AQ128" s="8"/>
      <c r="AR128" s="6"/>
      <c r="AS128" s="6"/>
      <c r="AT128" s="6"/>
      <c r="AU128" s="6"/>
      <c r="AV128" s="7"/>
      <c r="AW128" s="7"/>
      <c r="AX128" s="7"/>
      <c r="AY128" s="7"/>
      <c r="AZ128" s="7"/>
      <c r="BA128" s="7"/>
      <c r="BB128" s="6"/>
      <c r="BC128" s="6"/>
      <c r="BD128" s="6"/>
      <c r="BE128" s="6"/>
      <c r="BF128" s="6"/>
      <c r="BG128" s="6"/>
      <c r="BH128" s="6"/>
      <c r="BI128" s="6"/>
      <c r="BJ128" s="6"/>
      <c r="BK128" s="6"/>
      <c r="BL128" s="6"/>
      <c r="BM128" s="6"/>
      <c r="BN128" s="6"/>
      <c r="BO128" s="6"/>
      <c r="BP128" s="6"/>
      <c r="BQ128" s="6"/>
      <c r="BR128" s="6"/>
      <c r="BS128" s="6"/>
      <c r="BT128" s="8"/>
      <c r="BU128" s="8"/>
      <c r="BV128" s="6"/>
      <c r="BW128" s="8"/>
      <c r="BX128" s="8"/>
      <c r="BY128" s="6"/>
      <c r="BZ128" s="7"/>
      <c r="CA128" s="7"/>
      <c r="CB128" s="7"/>
      <c r="CC128" s="7"/>
      <c r="CD128" s="7"/>
      <c r="CE128" s="7"/>
    </row>
    <row r="129" spans="1:83" ht="14" x14ac:dyDescent="0.3">
      <c r="A129" s="2">
        <f t="shared" si="4"/>
        <v>63.5</v>
      </c>
      <c r="B129" s="2">
        <v>852.596</v>
      </c>
      <c r="C129" s="3">
        <v>476.37599999999998</v>
      </c>
      <c r="D129" s="2">
        <v>618.58199999999999</v>
      </c>
      <c r="E129" s="2">
        <v>859.42700000000002</v>
      </c>
      <c r="F129" s="2">
        <f t="shared" si="17"/>
        <v>-1298.2547500000001</v>
      </c>
      <c r="G129">
        <f t="shared" si="18"/>
        <v>-12.957499999999982</v>
      </c>
      <c r="H129" s="1">
        <v>912.89</v>
      </c>
      <c r="I129" s="1">
        <v>825.53300000000002</v>
      </c>
      <c r="J129" s="1">
        <v>1237.47</v>
      </c>
      <c r="K129" s="1">
        <v>797.37199999999996</v>
      </c>
      <c r="L129" s="2">
        <f t="shared" si="19"/>
        <v>-1056.6837500000001</v>
      </c>
      <c r="M129">
        <f t="shared" si="20"/>
        <v>-3.2559999999998581</v>
      </c>
      <c r="N129" s="1">
        <v>2257.127</v>
      </c>
      <c r="O129" s="1">
        <v>1008.249</v>
      </c>
      <c r="P129" s="1">
        <v>1528.5840000000001</v>
      </c>
      <c r="Q129" s="1">
        <v>688.11199999999997</v>
      </c>
      <c r="R129" s="2">
        <f t="shared" si="21"/>
        <v>-629.48199999999997</v>
      </c>
      <c r="S129">
        <f t="shared" si="22"/>
        <v>-7.9259999999999309</v>
      </c>
      <c r="T129" s="1">
        <v>1315.884</v>
      </c>
      <c r="U129" s="1">
        <v>766.96</v>
      </c>
      <c r="V129" s="1">
        <v>1093.953</v>
      </c>
      <c r="W129" s="1">
        <v>887.92499999999995</v>
      </c>
      <c r="X129" s="2">
        <f t="shared" si="23"/>
        <v>-740.57249999999999</v>
      </c>
      <c r="Y129" s="6"/>
      <c r="Z129" s="11"/>
      <c r="AB129" s="6"/>
      <c r="AC129" s="8"/>
      <c r="AD129" s="2">
        <f t="shared" si="24"/>
        <v>-11.814000000000306</v>
      </c>
      <c r="AE129" s="2"/>
      <c r="AF129" s="2"/>
      <c r="AG129" s="2"/>
      <c r="AH129" s="2"/>
      <c r="AI129" s="2"/>
      <c r="AJ129" s="6"/>
      <c r="AK129" s="6"/>
      <c r="AL129" s="6"/>
      <c r="AM129" s="6"/>
      <c r="AN129" s="6"/>
      <c r="AO129" s="6"/>
      <c r="AP129" s="6"/>
      <c r="AQ129" s="8"/>
      <c r="AR129" s="6"/>
      <c r="AS129" s="6"/>
      <c r="AT129" s="6"/>
      <c r="AU129" s="6"/>
      <c r="AV129" s="7"/>
      <c r="AW129" s="7"/>
      <c r="AX129" s="7"/>
      <c r="AY129" s="7"/>
      <c r="AZ129" s="7"/>
      <c r="BA129" s="7"/>
      <c r="BB129" s="6"/>
      <c r="BC129" s="6"/>
      <c r="BD129" s="6"/>
      <c r="BE129" s="6"/>
      <c r="BF129" s="6"/>
      <c r="BG129" s="6"/>
      <c r="BH129" s="6"/>
      <c r="BI129" s="6"/>
      <c r="BJ129" s="8"/>
      <c r="BK129" s="6"/>
      <c r="BL129" s="6"/>
      <c r="BM129" s="6"/>
      <c r="BN129" s="6"/>
      <c r="BO129" s="6"/>
      <c r="BP129" s="6"/>
      <c r="BQ129" s="6"/>
      <c r="BR129" s="6"/>
      <c r="BS129" s="6"/>
      <c r="BT129" s="8"/>
      <c r="BU129" s="8"/>
      <c r="BV129" s="6"/>
      <c r="BW129" s="8"/>
      <c r="BX129" s="8"/>
      <c r="BY129" s="6"/>
      <c r="BZ129" s="7"/>
      <c r="CA129" s="7"/>
      <c r="CB129" s="7"/>
      <c r="CC129" s="7"/>
      <c r="CD129" s="7"/>
      <c r="CE129" s="7"/>
    </row>
    <row r="130" spans="1:83" ht="14" x14ac:dyDescent="0.3">
      <c r="A130" s="2">
        <f t="shared" si="4"/>
        <v>64</v>
      </c>
      <c r="B130" s="2">
        <v>846.16600000000005</v>
      </c>
      <c r="C130" s="2">
        <v>740.21400000000006</v>
      </c>
      <c r="D130" s="2">
        <v>612.61099999999999</v>
      </c>
      <c r="E130" s="2">
        <v>852.16600000000005</v>
      </c>
      <c r="F130" s="2">
        <f t="shared" si="17"/>
        <v>-1237.21075</v>
      </c>
      <c r="G130">
        <f t="shared" si="18"/>
        <v>-10.214500000000044</v>
      </c>
      <c r="H130" s="1">
        <v>907.00400000000002</v>
      </c>
      <c r="I130" s="1">
        <v>821.60699999999997</v>
      </c>
      <c r="J130" s="1">
        <v>1232.508</v>
      </c>
      <c r="K130" s="1">
        <v>781.18799999999999</v>
      </c>
      <c r="L130" s="2">
        <f t="shared" si="19"/>
        <v>-1064.4232500000001</v>
      </c>
      <c r="M130">
        <f t="shared" si="20"/>
        <v>-12.324000000000069</v>
      </c>
      <c r="N130" s="1">
        <v>2247.942</v>
      </c>
      <c r="O130" s="1">
        <v>1004.687</v>
      </c>
      <c r="P130" s="1">
        <v>1520.8130000000001</v>
      </c>
      <c r="Q130" s="1">
        <v>685.34799999999996</v>
      </c>
      <c r="R130" s="2">
        <f t="shared" si="21"/>
        <v>-635.30250000000001</v>
      </c>
      <c r="S130">
        <f t="shared" si="22"/>
        <v>-15.762499999999818</v>
      </c>
      <c r="T130" s="1">
        <v>1310.5450000000001</v>
      </c>
      <c r="U130" s="1">
        <v>762.38499999999999</v>
      </c>
      <c r="V130" s="1">
        <v>1069.2190000000001</v>
      </c>
      <c r="W130" s="1">
        <v>883.98400000000004</v>
      </c>
      <c r="X130" s="2">
        <f t="shared" si="23"/>
        <v>-756.56174999999985</v>
      </c>
      <c r="Y130" s="6"/>
      <c r="Z130" s="7"/>
      <c r="AB130" s="6"/>
      <c r="AC130" s="8"/>
      <c r="AD130" s="2">
        <f t="shared" si="24"/>
        <v>-11.650000000000091</v>
      </c>
      <c r="AE130" s="2"/>
      <c r="AF130" s="2"/>
      <c r="AG130" s="2"/>
      <c r="AH130" s="2"/>
      <c r="AI130" s="2"/>
      <c r="AJ130" s="6"/>
      <c r="AK130" s="6"/>
      <c r="AL130" s="6"/>
      <c r="AM130" s="6"/>
      <c r="AN130" s="6"/>
      <c r="AO130" s="6"/>
      <c r="AP130" s="6"/>
      <c r="AQ130" s="8"/>
      <c r="AR130" s="6"/>
      <c r="AS130" s="6"/>
      <c r="AT130" s="6"/>
      <c r="AU130" s="6"/>
      <c r="AV130" s="7"/>
      <c r="AW130" s="7"/>
      <c r="AX130" s="7"/>
      <c r="AY130" s="7"/>
      <c r="AZ130" s="7"/>
      <c r="BA130" s="7"/>
      <c r="BB130" s="6"/>
      <c r="BC130" s="6"/>
      <c r="BD130" s="6"/>
      <c r="BE130" s="6"/>
      <c r="BF130" s="6"/>
      <c r="BG130" s="6"/>
      <c r="BH130" s="6"/>
      <c r="BI130" s="6"/>
      <c r="BJ130" s="8"/>
      <c r="BK130" s="6"/>
      <c r="BL130" s="6"/>
      <c r="BM130" s="9"/>
      <c r="BN130" s="6"/>
      <c r="BO130" s="6"/>
      <c r="BP130" s="6"/>
      <c r="BQ130" s="6"/>
      <c r="BR130" s="6"/>
      <c r="BS130" s="6"/>
      <c r="BT130" s="8"/>
      <c r="BU130" s="8"/>
      <c r="BV130" s="6"/>
      <c r="BW130" s="8"/>
      <c r="BX130" s="8"/>
      <c r="BY130" s="6"/>
      <c r="BZ130" s="7"/>
      <c r="CA130" s="7"/>
      <c r="CB130" s="7"/>
      <c r="CC130" s="7"/>
      <c r="CD130" s="7"/>
      <c r="CE130" s="7"/>
    </row>
    <row r="131" spans="1:83" ht="14" x14ac:dyDescent="0.3">
      <c r="A131" s="2">
        <f t="shared" si="4"/>
        <v>64.5</v>
      </c>
      <c r="B131" s="2">
        <v>839.61900000000003</v>
      </c>
      <c r="C131" s="2">
        <v>734.43899999999996</v>
      </c>
      <c r="D131" s="2">
        <v>609.63300000000004</v>
      </c>
      <c r="E131" s="2">
        <v>841.55100000000004</v>
      </c>
      <c r="F131" s="2">
        <f t="shared" si="17"/>
        <v>-1243.6895</v>
      </c>
      <c r="G131">
        <f t="shared" ref="G131:G194" si="25">(F133-F132)/(A133-A132)</f>
        <v>-9.8135000000002037</v>
      </c>
      <c r="H131" s="1">
        <v>904.12099999999998</v>
      </c>
      <c r="I131" s="1">
        <v>816.649</v>
      </c>
      <c r="J131" s="1">
        <v>1225.8489999999999</v>
      </c>
      <c r="K131" s="1">
        <v>789.17600000000004</v>
      </c>
      <c r="L131" s="2">
        <f t="shared" ref="L131:L194" si="26">((H131+I131+J131+K131)/4)-2000</f>
        <v>-1066.05125</v>
      </c>
      <c r="M131">
        <f t="shared" ref="M131:M194" si="27">(L133-L132)/(A133-A132)</f>
        <v>-4.63799999999992</v>
      </c>
      <c r="N131" s="1">
        <v>2236.3270000000002</v>
      </c>
      <c r="O131" s="1">
        <v>1001.205</v>
      </c>
      <c r="P131" s="1">
        <v>1513.45</v>
      </c>
      <c r="Q131" s="1">
        <v>691.95600000000002</v>
      </c>
      <c r="R131" s="2">
        <f t="shared" si="21"/>
        <v>-639.26549999999997</v>
      </c>
      <c r="S131">
        <f t="shared" ref="S131:S194" si="28">(R133-R132)/(A133-A132)</f>
        <v>-44.835000000000036</v>
      </c>
      <c r="T131" s="1">
        <v>1302.6369999999999</v>
      </c>
      <c r="U131" s="1">
        <v>758.346</v>
      </c>
      <c r="V131" s="1">
        <v>1065.3979999999999</v>
      </c>
      <c r="W131" s="1">
        <v>879.25699999999995</v>
      </c>
      <c r="X131" s="2">
        <f t="shared" si="23"/>
        <v>-762.46875</v>
      </c>
      <c r="Y131" s="6"/>
      <c r="Z131" s="7"/>
      <c r="AB131" s="6"/>
      <c r="AC131" s="8"/>
      <c r="AD131" s="2">
        <f t="shared" si="24"/>
        <v>-9.6574999999997999</v>
      </c>
      <c r="AE131" s="2"/>
      <c r="AF131" s="2"/>
      <c r="AG131" s="2"/>
      <c r="AH131" s="2"/>
      <c r="AI131" s="2"/>
      <c r="AJ131" s="6"/>
      <c r="AK131" s="6"/>
      <c r="AL131" s="6"/>
      <c r="AM131" s="6"/>
      <c r="AN131" s="6"/>
      <c r="AO131" s="6"/>
      <c r="AP131" s="6"/>
      <c r="AQ131" s="8"/>
      <c r="AR131" s="6"/>
      <c r="AS131" s="8"/>
      <c r="AT131" s="6"/>
      <c r="AU131" s="6"/>
      <c r="AV131" s="7"/>
      <c r="AW131" s="7"/>
      <c r="AX131" s="7"/>
      <c r="AY131" s="7"/>
      <c r="AZ131" s="7"/>
      <c r="BA131" s="7"/>
      <c r="BB131" s="6"/>
      <c r="BC131" s="6"/>
      <c r="BD131" s="6"/>
      <c r="BE131" s="6"/>
      <c r="BF131" s="6"/>
      <c r="BG131" s="6"/>
      <c r="BH131" s="6"/>
      <c r="BI131" s="6"/>
      <c r="BJ131" s="8"/>
      <c r="BK131" s="6"/>
      <c r="BL131" s="6"/>
      <c r="BM131" s="6"/>
      <c r="BN131" s="6"/>
      <c r="BO131" s="6"/>
      <c r="BP131" s="6"/>
      <c r="BQ131" s="6"/>
      <c r="BR131" s="6"/>
      <c r="BS131" s="6"/>
      <c r="BT131" s="8"/>
      <c r="BU131" s="8"/>
      <c r="BV131" s="6"/>
      <c r="BW131" s="8"/>
      <c r="BX131" s="8"/>
      <c r="BY131" s="6"/>
      <c r="BZ131" s="7"/>
      <c r="CA131" s="7"/>
      <c r="CB131" s="7"/>
      <c r="CC131" s="7"/>
      <c r="CD131" s="7"/>
      <c r="CE131" s="7"/>
    </row>
    <row r="132" spans="1:83" ht="14" x14ac:dyDescent="0.3">
      <c r="A132" s="2">
        <f t="shared" si="4"/>
        <v>65</v>
      </c>
      <c r="B132" s="2">
        <v>835.67</v>
      </c>
      <c r="C132" s="2">
        <v>729.95399999999995</v>
      </c>
      <c r="D132" s="2">
        <v>605.58100000000002</v>
      </c>
      <c r="E132" s="2">
        <v>833.60799999999995</v>
      </c>
      <c r="F132" s="2">
        <f t="shared" si="17"/>
        <v>-1248.79675</v>
      </c>
      <c r="G132">
        <f t="shared" si="25"/>
        <v>-7.5389999999997599</v>
      </c>
      <c r="H132" s="1">
        <v>898.11800000000005</v>
      </c>
      <c r="I132" s="1">
        <v>811.21600000000001</v>
      </c>
      <c r="J132" s="1">
        <v>1218.508</v>
      </c>
      <c r="K132" s="1">
        <v>783.30499999999995</v>
      </c>
      <c r="L132" s="2">
        <f t="shared" si="26"/>
        <v>-1072.21325</v>
      </c>
      <c r="M132">
        <f t="shared" si="27"/>
        <v>-16.271500000000287</v>
      </c>
      <c r="N132" s="1">
        <v>2231.1790000000001</v>
      </c>
      <c r="O132" s="1">
        <v>996.24900000000002</v>
      </c>
      <c r="P132" s="1">
        <v>1505.5319999999999</v>
      </c>
      <c r="Q132" s="1">
        <v>678.45299999999997</v>
      </c>
      <c r="R132" s="2">
        <f t="shared" si="21"/>
        <v>-647.14674999999988</v>
      </c>
      <c r="S132">
        <f t="shared" si="28"/>
        <v>-10.347500000000309</v>
      </c>
      <c r="T132" s="1">
        <v>1296.1030000000001</v>
      </c>
      <c r="U132" s="1">
        <v>755.64300000000003</v>
      </c>
      <c r="V132" s="1">
        <v>1059.7180000000001</v>
      </c>
      <c r="W132" s="1">
        <v>873.37800000000004</v>
      </c>
      <c r="X132" s="2">
        <f t="shared" si="23"/>
        <v>-768.29375000000005</v>
      </c>
      <c r="Y132" s="6"/>
      <c r="Z132" s="7"/>
      <c r="AB132" s="6"/>
      <c r="AC132" s="8"/>
      <c r="AD132" s="2">
        <f t="shared" ref="AD132:AD195" si="29">(X134-X133)/(A134-A133)</f>
        <v>-15.563999999999851</v>
      </c>
      <c r="AE132" s="2"/>
      <c r="AF132" s="2"/>
      <c r="AG132" s="2"/>
      <c r="AH132" s="2"/>
      <c r="AI132" s="2"/>
      <c r="AJ132" s="6"/>
      <c r="AK132" s="6"/>
      <c r="AL132" s="6"/>
      <c r="AM132" s="6"/>
      <c r="AN132" s="6"/>
      <c r="AO132" s="6"/>
      <c r="AP132" s="6"/>
      <c r="AQ132" s="8"/>
      <c r="AR132" s="6"/>
      <c r="AS132" s="8"/>
      <c r="AT132" s="6"/>
      <c r="AU132" s="6"/>
      <c r="AV132" s="7"/>
      <c r="AW132" s="7"/>
      <c r="AX132" s="7"/>
      <c r="AY132" s="7"/>
      <c r="AZ132" s="7"/>
      <c r="BA132" s="7"/>
      <c r="BB132" s="6"/>
      <c r="BC132" s="6"/>
      <c r="BD132" s="6"/>
      <c r="BE132" s="6"/>
      <c r="BF132" s="6"/>
      <c r="BG132" s="6"/>
      <c r="BH132" s="6"/>
      <c r="BI132" s="6"/>
      <c r="BJ132" s="8"/>
      <c r="BK132" s="6"/>
      <c r="BL132" s="6"/>
      <c r="BM132" s="6"/>
      <c r="BN132" s="6"/>
      <c r="BO132" s="6"/>
      <c r="BP132" s="6"/>
      <c r="BQ132" s="6"/>
      <c r="BR132" s="6"/>
      <c r="BS132" s="6"/>
      <c r="BT132" s="8"/>
      <c r="BU132" s="8"/>
      <c r="BV132" s="6"/>
      <c r="BW132" s="8"/>
      <c r="BX132" s="8"/>
      <c r="BY132" s="6"/>
      <c r="BZ132" s="7"/>
      <c r="CA132" s="7"/>
      <c r="CB132" s="7"/>
      <c r="CC132" s="7"/>
      <c r="CD132" s="7"/>
      <c r="CE132" s="7"/>
    </row>
    <row r="133" spans="1:83" ht="14" x14ac:dyDescent="0.3">
      <c r="A133" s="2">
        <f t="shared" si="4"/>
        <v>65.5</v>
      </c>
      <c r="B133" s="2">
        <v>830.75199999999995</v>
      </c>
      <c r="C133" s="2">
        <v>723.63800000000003</v>
      </c>
      <c r="D133" s="2">
        <v>602.54999999999995</v>
      </c>
      <c r="E133" s="2">
        <v>828.24599999999998</v>
      </c>
      <c r="F133" s="2">
        <f t="shared" si="17"/>
        <v>-1253.7035000000001</v>
      </c>
      <c r="G133">
        <f t="shared" si="25"/>
        <v>-12.235000000000127</v>
      </c>
      <c r="H133" s="1">
        <v>896.34199999999998</v>
      </c>
      <c r="I133" s="1">
        <v>808.721</v>
      </c>
      <c r="J133" s="1">
        <v>1215.23</v>
      </c>
      <c r="K133" s="1">
        <v>781.57799999999997</v>
      </c>
      <c r="L133" s="2">
        <f t="shared" si="26"/>
        <v>-1074.53225</v>
      </c>
      <c r="M133">
        <f t="shared" si="27"/>
        <v>0.71450000000004366</v>
      </c>
      <c r="N133" s="1">
        <v>2217.875</v>
      </c>
      <c r="O133" s="1">
        <v>993.74300000000005</v>
      </c>
      <c r="P133" s="1">
        <v>1434.173</v>
      </c>
      <c r="Q133" s="1">
        <v>675.952</v>
      </c>
      <c r="R133" s="2">
        <f t="shared" si="21"/>
        <v>-669.5642499999999</v>
      </c>
      <c r="S133">
        <f t="shared" si="28"/>
        <v>-6.2474999999999454</v>
      </c>
      <c r="T133" s="1">
        <v>1296.0719999999999</v>
      </c>
      <c r="U133" s="1">
        <v>751.08399999999995</v>
      </c>
      <c r="V133" s="1">
        <v>1054.635</v>
      </c>
      <c r="W133" s="1">
        <v>870.08699999999999</v>
      </c>
      <c r="X133" s="2">
        <f t="shared" si="23"/>
        <v>-773.12249999999995</v>
      </c>
      <c r="Y133" s="6"/>
      <c r="Z133" s="7"/>
      <c r="AB133" s="6"/>
      <c r="AC133" s="8"/>
      <c r="AD133" s="2">
        <f t="shared" si="29"/>
        <v>-5.9865000000004329</v>
      </c>
      <c r="AE133" s="2"/>
      <c r="AF133" s="2"/>
      <c r="AG133" s="2"/>
      <c r="AH133" s="2"/>
      <c r="AI133" s="2"/>
      <c r="AJ133" s="6"/>
      <c r="AK133" s="6"/>
      <c r="AL133" s="6"/>
      <c r="AM133" s="6"/>
      <c r="AN133" s="6"/>
      <c r="AO133" s="6"/>
      <c r="AP133" s="6"/>
      <c r="AQ133" s="8"/>
      <c r="AR133" s="6"/>
      <c r="AS133" s="8"/>
      <c r="AT133" s="6"/>
      <c r="AU133" s="6"/>
      <c r="AV133" s="7"/>
      <c r="AW133" s="7"/>
      <c r="AX133" s="7"/>
      <c r="AY133" s="7"/>
      <c r="AZ133" s="7"/>
      <c r="BA133" s="7"/>
      <c r="BB133" s="6"/>
      <c r="BC133" s="6"/>
      <c r="BD133" s="6"/>
      <c r="BE133" s="6"/>
      <c r="BF133" s="6"/>
      <c r="BG133" s="6"/>
      <c r="BH133" s="6"/>
      <c r="BI133" s="6"/>
      <c r="BJ133" s="8"/>
      <c r="BK133" s="6"/>
      <c r="BL133" s="6"/>
      <c r="BM133" s="6"/>
      <c r="BN133" s="6"/>
      <c r="BO133" s="6"/>
      <c r="BP133" s="6"/>
      <c r="BQ133" s="6"/>
      <c r="BR133" s="6"/>
      <c r="BS133" s="6"/>
      <c r="BT133" s="8"/>
      <c r="BU133" s="8"/>
      <c r="BV133" s="6"/>
      <c r="BW133" s="8"/>
      <c r="BX133" s="8"/>
      <c r="BY133" s="6"/>
      <c r="BZ133" s="7"/>
      <c r="CA133" s="7"/>
      <c r="CB133" s="7"/>
      <c r="CC133" s="7"/>
      <c r="CD133" s="7"/>
      <c r="CE133" s="7"/>
    </row>
    <row r="134" spans="1:83" ht="14" x14ac:dyDescent="0.3">
      <c r="A134" s="2">
        <f t="shared" si="4"/>
        <v>66</v>
      </c>
      <c r="B134" s="2">
        <v>823.93100000000004</v>
      </c>
      <c r="C134" s="2">
        <v>723.68399999999997</v>
      </c>
      <c r="D134" s="2">
        <v>600.26599999999996</v>
      </c>
      <c r="E134" s="2">
        <v>822.22699999999998</v>
      </c>
      <c r="F134" s="2">
        <f t="shared" si="17"/>
        <v>-1257.473</v>
      </c>
      <c r="G134">
        <f t="shared" si="25"/>
        <v>-6.3099999999999454</v>
      </c>
      <c r="H134" s="1">
        <v>892.19899999999996</v>
      </c>
      <c r="I134" s="1">
        <v>801.55</v>
      </c>
      <c r="J134" s="1">
        <v>1207.259</v>
      </c>
      <c r="K134" s="1">
        <v>768.32</v>
      </c>
      <c r="L134" s="2">
        <f t="shared" si="26"/>
        <v>-1082.6680000000001</v>
      </c>
      <c r="M134">
        <f t="shared" si="27"/>
        <v>-10.225499999999556</v>
      </c>
      <c r="N134" s="1">
        <v>2209.84</v>
      </c>
      <c r="O134" s="1">
        <v>986.26400000000001</v>
      </c>
      <c r="P134" s="1">
        <v>1434.5519999999999</v>
      </c>
      <c r="Q134" s="1">
        <v>670.39200000000005</v>
      </c>
      <c r="R134" s="2">
        <f t="shared" si="21"/>
        <v>-674.73800000000006</v>
      </c>
      <c r="S134">
        <f t="shared" si="28"/>
        <v>30.555999999999585</v>
      </c>
      <c r="T134" s="1">
        <v>1278.914</v>
      </c>
      <c r="U134" s="1">
        <v>747.58100000000002</v>
      </c>
      <c r="V134" s="1">
        <v>1051.153</v>
      </c>
      <c r="W134" s="1">
        <v>866.00300000000004</v>
      </c>
      <c r="X134" s="2">
        <f t="shared" si="23"/>
        <v>-780.90449999999987</v>
      </c>
      <c r="Y134" s="6"/>
      <c r="Z134" s="7"/>
      <c r="AB134" s="6"/>
      <c r="AC134" s="8"/>
      <c r="AD134" s="2">
        <f t="shared" si="29"/>
        <v>-9.5964999999996508</v>
      </c>
      <c r="AE134" s="2"/>
      <c r="AF134" s="2"/>
      <c r="AG134" s="2"/>
      <c r="AH134" s="2"/>
      <c r="AI134" s="2"/>
      <c r="AJ134" s="6"/>
      <c r="AK134" s="6"/>
      <c r="AL134" s="6"/>
      <c r="AM134" s="6"/>
      <c r="AN134" s="6"/>
      <c r="AO134" s="6"/>
      <c r="AP134" s="6"/>
      <c r="AQ134" s="8"/>
      <c r="AR134" s="6"/>
      <c r="AS134" s="8"/>
      <c r="AT134" s="6"/>
      <c r="AU134" s="6"/>
      <c r="AV134" s="7"/>
      <c r="AW134" s="7"/>
      <c r="AX134" s="7"/>
      <c r="AY134" s="7"/>
      <c r="AZ134" s="7"/>
      <c r="BA134" s="7"/>
      <c r="BB134" s="6"/>
      <c r="BC134" s="6"/>
      <c r="BD134" s="6"/>
      <c r="BE134" s="6"/>
      <c r="BF134" s="6"/>
      <c r="BG134" s="6"/>
      <c r="BH134" s="6"/>
      <c r="BI134" s="6"/>
      <c r="BJ134" s="8"/>
      <c r="BK134" s="6"/>
      <c r="BL134" s="6"/>
      <c r="BM134" s="6"/>
      <c r="BN134" s="6"/>
      <c r="BO134" s="6"/>
      <c r="BP134" s="6"/>
      <c r="BQ134" s="6"/>
      <c r="BR134" s="6"/>
      <c r="BS134" s="6"/>
      <c r="BT134" s="8"/>
      <c r="BU134" s="6"/>
      <c r="BV134" s="6"/>
      <c r="BW134" s="8"/>
      <c r="BX134" s="8"/>
      <c r="BY134" s="6"/>
      <c r="BZ134" s="7"/>
      <c r="CA134" s="7"/>
      <c r="CB134" s="7"/>
      <c r="CC134" s="7"/>
      <c r="CD134" s="7"/>
      <c r="CE134" s="7"/>
    </row>
    <row r="135" spans="1:83" ht="14" x14ac:dyDescent="0.3">
      <c r="A135" s="2">
        <f t="shared" si="4"/>
        <v>66.5</v>
      </c>
      <c r="B135" s="2">
        <v>821.51</v>
      </c>
      <c r="C135" s="2">
        <v>713.85299999999995</v>
      </c>
      <c r="D135" s="2">
        <v>596.08199999999999</v>
      </c>
      <c r="E135" s="2">
        <v>814.19299999999998</v>
      </c>
      <c r="F135" s="2">
        <f t="shared" si="17"/>
        <v>-1263.5905</v>
      </c>
      <c r="G135">
        <f t="shared" si="25"/>
        <v>-8.2065000000002328</v>
      </c>
      <c r="H135" s="1">
        <v>890.69799999999998</v>
      </c>
      <c r="I135" s="1">
        <v>801.89300000000003</v>
      </c>
      <c r="J135" s="1">
        <v>1206.933</v>
      </c>
      <c r="K135" s="1">
        <v>771.23299999999995</v>
      </c>
      <c r="L135" s="2">
        <f t="shared" si="26"/>
        <v>-1082.3107500000001</v>
      </c>
      <c r="M135">
        <f t="shared" si="27"/>
        <v>-6.2854999999999563</v>
      </c>
      <c r="N135" s="1">
        <v>2206.6689999999999</v>
      </c>
      <c r="O135" s="1">
        <v>987.87900000000002</v>
      </c>
      <c r="P135" s="1">
        <v>1421.9860000000001</v>
      </c>
      <c r="Q135" s="1">
        <v>672.01900000000001</v>
      </c>
      <c r="R135" s="2">
        <f t="shared" si="21"/>
        <v>-677.86175000000003</v>
      </c>
      <c r="S135">
        <f t="shared" si="28"/>
        <v>-19.949499999999716</v>
      </c>
      <c r="T135" s="1">
        <v>1281.9010000000001</v>
      </c>
      <c r="U135" s="1">
        <v>745.05700000000002</v>
      </c>
      <c r="V135" s="1">
        <v>1046.1969999999999</v>
      </c>
      <c r="W135" s="1">
        <v>861.11099999999999</v>
      </c>
      <c r="X135" s="2">
        <f t="shared" si="23"/>
        <v>-783.89775000000009</v>
      </c>
      <c r="Y135" s="6"/>
      <c r="Z135" s="7"/>
      <c r="AB135" s="6"/>
      <c r="AC135" s="8"/>
      <c r="AD135" s="2">
        <f t="shared" si="29"/>
        <v>-7.6145000000001346</v>
      </c>
      <c r="AE135" s="2"/>
      <c r="AF135" s="2"/>
      <c r="AG135" s="2"/>
      <c r="AH135" s="2"/>
      <c r="AI135" s="2"/>
      <c r="AJ135" s="6"/>
      <c r="AK135" s="6"/>
      <c r="AL135" s="6"/>
      <c r="AM135" s="6"/>
      <c r="AN135" s="6"/>
      <c r="AO135" s="6"/>
      <c r="AP135" s="6"/>
      <c r="AQ135" s="8"/>
      <c r="AR135" s="6"/>
      <c r="AS135" s="6"/>
      <c r="AT135" s="6"/>
      <c r="AU135" s="6"/>
      <c r="AV135" s="7"/>
      <c r="AW135" s="7"/>
      <c r="AX135" s="7"/>
      <c r="AY135" s="7"/>
      <c r="AZ135" s="7"/>
      <c r="BA135" s="7"/>
      <c r="BB135" s="6"/>
      <c r="BC135" s="6"/>
      <c r="BD135" s="6"/>
      <c r="BE135" s="6"/>
      <c r="BF135" s="6"/>
      <c r="BG135" s="6"/>
      <c r="BH135" s="6"/>
      <c r="BI135" s="6"/>
      <c r="BJ135" s="6"/>
      <c r="BK135" s="6"/>
      <c r="BL135" s="6"/>
      <c r="BM135" s="6"/>
      <c r="BN135" s="6"/>
      <c r="BO135" s="6"/>
      <c r="BP135" s="6"/>
      <c r="BQ135" s="6"/>
      <c r="BR135" s="6"/>
      <c r="BS135" s="6"/>
      <c r="BT135" s="8"/>
      <c r="BU135" s="6"/>
      <c r="BV135" s="6"/>
      <c r="BW135" s="6"/>
      <c r="BX135" s="8"/>
      <c r="BY135" s="6"/>
      <c r="BZ135" s="7"/>
      <c r="CA135" s="7"/>
      <c r="CB135" s="7"/>
      <c r="CC135" s="7"/>
      <c r="CD135" s="7"/>
      <c r="CE135" s="7"/>
    </row>
    <row r="136" spans="1:83" ht="14" x14ac:dyDescent="0.3">
      <c r="A136" s="2">
        <f t="shared" si="4"/>
        <v>67</v>
      </c>
      <c r="B136" s="2">
        <v>815.98900000000003</v>
      </c>
      <c r="C136" s="2">
        <v>713.125</v>
      </c>
      <c r="D136" s="2">
        <v>594.64099999999996</v>
      </c>
      <c r="E136" s="2">
        <v>809.26300000000003</v>
      </c>
      <c r="F136" s="2">
        <f t="shared" si="17"/>
        <v>-1266.7455</v>
      </c>
      <c r="G136">
        <f t="shared" si="25"/>
        <v>-9.4704999999999018</v>
      </c>
      <c r="H136" s="1">
        <v>887.83100000000002</v>
      </c>
      <c r="I136" s="1">
        <v>796.47</v>
      </c>
      <c r="J136" s="1">
        <v>1199.383</v>
      </c>
      <c r="K136" s="1">
        <v>766.62199999999996</v>
      </c>
      <c r="L136" s="2">
        <f t="shared" si="26"/>
        <v>-1087.4234999999999</v>
      </c>
      <c r="M136">
        <f t="shared" si="27"/>
        <v>-9.2960000000002765</v>
      </c>
      <c r="N136" s="1">
        <v>2191.3090000000002</v>
      </c>
      <c r="O136" s="1">
        <v>983.38300000000004</v>
      </c>
      <c r="P136" s="1">
        <v>1486.886</v>
      </c>
      <c r="Q136" s="1">
        <v>688.08699999999999</v>
      </c>
      <c r="R136" s="2">
        <f t="shared" si="21"/>
        <v>-662.58375000000024</v>
      </c>
      <c r="S136">
        <f t="shared" si="28"/>
        <v>-10.553499999999531</v>
      </c>
      <c r="T136" s="1">
        <v>1279.472</v>
      </c>
      <c r="U136" s="1">
        <v>741.50099999999998</v>
      </c>
      <c r="V136" s="1">
        <v>1041.3710000000001</v>
      </c>
      <c r="W136" s="1">
        <v>859.37599999999998</v>
      </c>
      <c r="X136" s="2">
        <f t="shared" si="23"/>
        <v>-788.69599999999991</v>
      </c>
      <c r="Y136" s="6"/>
      <c r="Z136" s="7"/>
      <c r="AB136" s="6"/>
      <c r="AC136" s="8"/>
      <c r="AD136" s="2">
        <f t="shared" si="29"/>
        <v>-9.1124999999997272</v>
      </c>
      <c r="AE136" s="2"/>
      <c r="AF136" s="3"/>
      <c r="AG136" s="2"/>
      <c r="AH136" s="2"/>
      <c r="AI136" s="2"/>
      <c r="AJ136" s="6"/>
      <c r="AK136" s="6"/>
      <c r="AL136" s="6"/>
      <c r="AM136" s="6"/>
      <c r="AN136" s="6"/>
      <c r="AO136" s="6"/>
      <c r="AP136" s="6"/>
      <c r="AQ136" s="8"/>
      <c r="AR136" s="6"/>
      <c r="AS136" s="6"/>
      <c r="AT136" s="6"/>
      <c r="AU136" s="6"/>
      <c r="AV136" s="7"/>
      <c r="AW136" s="7"/>
      <c r="AX136" s="7"/>
      <c r="AY136" s="7"/>
      <c r="AZ136" s="7"/>
      <c r="BA136" s="7"/>
      <c r="BB136" s="6"/>
      <c r="BC136" s="6"/>
      <c r="BD136" s="6"/>
      <c r="BE136" s="6"/>
      <c r="BF136" s="6"/>
      <c r="BG136" s="6"/>
      <c r="BH136" s="6"/>
      <c r="BI136" s="6"/>
      <c r="BJ136" s="6"/>
      <c r="BK136" s="6"/>
      <c r="BL136" s="6"/>
      <c r="BM136" s="6"/>
      <c r="BN136" s="6"/>
      <c r="BO136" s="6"/>
      <c r="BP136" s="6"/>
      <c r="BQ136" s="6"/>
      <c r="BR136" s="6"/>
      <c r="BS136" s="6"/>
      <c r="BT136" s="8"/>
      <c r="BU136" s="6"/>
      <c r="BV136" s="6"/>
      <c r="BW136" s="6"/>
      <c r="BX136" s="8"/>
      <c r="BY136" s="6"/>
      <c r="BZ136" s="7"/>
      <c r="CA136" s="7"/>
      <c r="CB136" s="7"/>
      <c r="CC136" s="7"/>
      <c r="CD136" s="7"/>
      <c r="CE136" s="7"/>
    </row>
    <row r="137" spans="1:83" ht="14" x14ac:dyDescent="0.3">
      <c r="A137" s="2">
        <f t="shared" si="4"/>
        <v>67.5</v>
      </c>
      <c r="B137" s="2">
        <v>812.255</v>
      </c>
      <c r="C137" s="2">
        <v>708.89599999999996</v>
      </c>
      <c r="D137" s="2">
        <v>591.08399999999995</v>
      </c>
      <c r="E137" s="2">
        <v>804.37</v>
      </c>
      <c r="F137" s="2">
        <f t="shared" si="17"/>
        <v>-1270.8487500000001</v>
      </c>
      <c r="G137">
        <f t="shared" si="25"/>
        <v>-6.9859999999998763</v>
      </c>
      <c r="H137" s="1">
        <v>884.72400000000005</v>
      </c>
      <c r="I137" s="1">
        <v>793.34799999999996</v>
      </c>
      <c r="J137" s="1">
        <v>1194.8219999999999</v>
      </c>
      <c r="K137" s="1">
        <v>764.84100000000001</v>
      </c>
      <c r="L137" s="2">
        <f t="shared" si="26"/>
        <v>-1090.5662499999999</v>
      </c>
      <c r="M137">
        <f t="shared" si="27"/>
        <v>-6.0105000000003201</v>
      </c>
      <c r="N137" s="1">
        <v>2187.4690000000001</v>
      </c>
      <c r="O137" s="1">
        <v>981.78099999999995</v>
      </c>
      <c r="P137" s="1">
        <v>1474.319</v>
      </c>
      <c r="Q137" s="1">
        <v>666.197</v>
      </c>
      <c r="R137" s="2">
        <f t="shared" si="21"/>
        <v>-672.55850000000009</v>
      </c>
      <c r="S137">
        <f t="shared" si="28"/>
        <v>-9.8830000000002656</v>
      </c>
      <c r="T137" s="1">
        <v>1275.4829999999999</v>
      </c>
      <c r="U137" s="1">
        <v>738.99300000000005</v>
      </c>
      <c r="V137" s="1">
        <v>1038.259</v>
      </c>
      <c r="W137" s="1">
        <v>856.05200000000002</v>
      </c>
      <c r="X137" s="2">
        <f t="shared" si="23"/>
        <v>-792.50324999999998</v>
      </c>
      <c r="Y137" s="6"/>
      <c r="Z137" s="7"/>
      <c r="AB137" s="6"/>
      <c r="AC137" s="8"/>
      <c r="AD137" s="2">
        <f t="shared" si="29"/>
        <v>-9.1825000000003456</v>
      </c>
      <c r="AE137" s="2"/>
      <c r="AF137" s="2"/>
      <c r="AG137" s="2"/>
      <c r="AH137" s="2"/>
      <c r="AI137" s="2"/>
      <c r="AJ137" s="6"/>
      <c r="AK137" s="6"/>
      <c r="AL137" s="6"/>
      <c r="AM137" s="6"/>
      <c r="AN137" s="6"/>
      <c r="AO137" s="6"/>
      <c r="AP137" s="6"/>
      <c r="AQ137" s="8"/>
      <c r="AR137" s="6"/>
      <c r="AS137" s="6"/>
      <c r="AT137" s="6"/>
      <c r="AU137" s="6"/>
      <c r="AV137" s="7"/>
      <c r="AW137" s="7"/>
      <c r="AX137" s="7"/>
      <c r="AY137" s="7"/>
      <c r="AZ137" s="7"/>
      <c r="BA137" s="7"/>
      <c r="BB137" s="6"/>
      <c r="BC137" s="6"/>
      <c r="BD137" s="6"/>
      <c r="BE137" s="6"/>
      <c r="BF137" s="6"/>
      <c r="BG137" s="6"/>
      <c r="BH137" s="6"/>
      <c r="BI137" s="6"/>
      <c r="BJ137" s="6"/>
      <c r="BK137" s="6"/>
      <c r="BL137" s="9"/>
      <c r="BM137" s="6"/>
      <c r="BN137" s="6"/>
      <c r="BO137" s="6"/>
      <c r="BP137" s="6"/>
      <c r="BQ137" s="6"/>
      <c r="BR137" s="6"/>
      <c r="BS137" s="6"/>
      <c r="BT137" s="8"/>
      <c r="BU137" s="6"/>
      <c r="BV137" s="6"/>
      <c r="BW137" s="6"/>
      <c r="BX137" s="8"/>
      <c r="BY137" s="6"/>
      <c r="BZ137" s="7"/>
      <c r="CA137" s="7"/>
      <c r="CB137" s="7"/>
      <c r="CC137" s="7"/>
      <c r="CD137" s="7"/>
      <c r="CE137" s="7"/>
    </row>
    <row r="138" spans="1:83" ht="14" x14ac:dyDescent="0.3">
      <c r="A138" s="2">
        <f t="shared" si="4"/>
        <v>68</v>
      </c>
      <c r="B138" s="2">
        <v>808.36699999999996</v>
      </c>
      <c r="C138" s="2">
        <v>703.87900000000002</v>
      </c>
      <c r="D138" s="2">
        <v>588.20899999999995</v>
      </c>
      <c r="E138" s="2">
        <v>797.20899999999995</v>
      </c>
      <c r="F138" s="2">
        <f t="shared" si="17"/>
        <v>-1275.5840000000001</v>
      </c>
      <c r="G138">
        <f t="shared" si="25"/>
        <v>-6.2164999999999964</v>
      </c>
      <c r="H138" s="1">
        <v>880.47</v>
      </c>
      <c r="I138" s="1">
        <v>790.81799999999998</v>
      </c>
      <c r="J138" s="1">
        <v>1190.316</v>
      </c>
      <c r="K138" s="1">
        <v>757.53899999999999</v>
      </c>
      <c r="L138" s="2">
        <f t="shared" si="26"/>
        <v>-1095.21425</v>
      </c>
      <c r="M138">
        <f t="shared" si="27"/>
        <v>-9.426499999999578</v>
      </c>
      <c r="N138" s="1">
        <v>2182.3490000000002</v>
      </c>
      <c r="O138" s="1">
        <v>975.12599999999998</v>
      </c>
      <c r="P138" s="1">
        <v>1468.0139999999999</v>
      </c>
      <c r="Q138" s="1">
        <v>663.17</v>
      </c>
      <c r="R138" s="2">
        <f t="shared" si="21"/>
        <v>-677.83524999999986</v>
      </c>
      <c r="S138">
        <f t="shared" si="28"/>
        <v>-3.6794999999997344</v>
      </c>
      <c r="T138" s="1">
        <v>1272.1579999999999</v>
      </c>
      <c r="U138" s="1">
        <v>735.73699999999997</v>
      </c>
      <c r="V138" s="1">
        <v>1034.0650000000001</v>
      </c>
      <c r="W138" s="1">
        <v>847.94600000000003</v>
      </c>
      <c r="X138" s="2">
        <f t="shared" si="23"/>
        <v>-797.05949999999984</v>
      </c>
      <c r="Y138" s="6"/>
      <c r="Z138" s="7"/>
      <c r="AB138" s="6"/>
      <c r="AC138" s="8"/>
      <c r="AD138" s="2">
        <f t="shared" si="29"/>
        <v>-7.3795000000000073</v>
      </c>
      <c r="AE138" s="2"/>
      <c r="AF138" s="2"/>
      <c r="AG138" s="2"/>
      <c r="AH138" s="2"/>
      <c r="AI138" s="2"/>
      <c r="AJ138" s="6"/>
      <c r="AK138" s="6"/>
      <c r="AL138" s="6"/>
      <c r="AM138" s="6"/>
      <c r="AN138" s="6"/>
      <c r="AO138" s="6"/>
      <c r="AP138" s="6"/>
      <c r="AQ138" s="8"/>
      <c r="AR138" s="6"/>
      <c r="AS138" s="6"/>
      <c r="AT138" s="6"/>
      <c r="AU138" s="6"/>
      <c r="AV138" s="7"/>
      <c r="AW138" s="7"/>
      <c r="AX138" s="7"/>
      <c r="AY138" s="7"/>
      <c r="AZ138" s="7"/>
      <c r="BA138" s="7"/>
      <c r="BB138" s="6"/>
      <c r="BC138" s="6"/>
      <c r="BD138" s="6"/>
      <c r="BE138" s="6"/>
      <c r="BF138" s="6"/>
      <c r="BG138" s="6"/>
      <c r="BH138" s="6"/>
      <c r="BI138" s="6"/>
      <c r="BJ138" s="6"/>
      <c r="BK138" s="6"/>
      <c r="BL138" s="6"/>
      <c r="BM138" s="6"/>
      <c r="BN138" s="6"/>
      <c r="BO138" s="6"/>
      <c r="BP138" s="6"/>
      <c r="BQ138" s="8"/>
      <c r="BR138" s="6"/>
      <c r="BS138" s="6"/>
      <c r="BT138" s="8"/>
      <c r="BU138" s="6"/>
      <c r="BV138" s="6"/>
      <c r="BW138" s="6"/>
      <c r="BX138" s="8"/>
      <c r="BY138" s="6"/>
      <c r="BZ138" s="7"/>
      <c r="CA138" s="7"/>
      <c r="CB138" s="7"/>
      <c r="CC138" s="7"/>
      <c r="CD138" s="7"/>
      <c r="CE138" s="7"/>
    </row>
    <row r="139" spans="1:83" ht="14" x14ac:dyDescent="0.3">
      <c r="A139" s="2">
        <f t="shared" si="4"/>
        <v>68.5</v>
      </c>
      <c r="B139" s="2">
        <v>803.23099999999999</v>
      </c>
      <c r="C139" s="2">
        <v>701.697</v>
      </c>
      <c r="D139" s="2">
        <v>586.42499999999995</v>
      </c>
      <c r="E139" s="2">
        <v>792.33900000000006</v>
      </c>
      <c r="F139" s="2">
        <f t="shared" si="17"/>
        <v>-1279.077</v>
      </c>
      <c r="G139">
        <f t="shared" si="25"/>
        <v>-7.9884999999999309</v>
      </c>
      <c r="H139" s="1">
        <v>878.71500000000003</v>
      </c>
      <c r="I139" s="1">
        <v>787.26400000000001</v>
      </c>
      <c r="J139" s="1">
        <v>1186.444</v>
      </c>
      <c r="K139" s="1">
        <v>754.69899999999996</v>
      </c>
      <c r="L139" s="2">
        <f t="shared" si="26"/>
        <v>-1098.2195000000002</v>
      </c>
      <c r="M139">
        <f t="shared" si="27"/>
        <v>7.1089999999999236</v>
      </c>
      <c r="N139" s="1">
        <v>2170.2950000000001</v>
      </c>
      <c r="O139" s="1">
        <v>974.39099999999996</v>
      </c>
      <c r="P139" s="1">
        <v>1462.77</v>
      </c>
      <c r="Q139" s="1">
        <v>661.43700000000001</v>
      </c>
      <c r="R139" s="2">
        <f t="shared" si="21"/>
        <v>-682.77674999999999</v>
      </c>
      <c r="S139">
        <f t="shared" si="28"/>
        <v>-10.520500000000084</v>
      </c>
      <c r="T139" s="1">
        <v>1265.615</v>
      </c>
      <c r="U139" s="1">
        <v>732.6</v>
      </c>
      <c r="V139" s="1">
        <v>1031.2909999999999</v>
      </c>
      <c r="W139" s="1">
        <v>847.274</v>
      </c>
      <c r="X139" s="2">
        <f t="shared" si="23"/>
        <v>-801.65075000000002</v>
      </c>
      <c r="Y139" s="6"/>
      <c r="Z139" s="7"/>
      <c r="AB139" s="6"/>
      <c r="AC139" s="8"/>
      <c r="AD139" s="2">
        <f t="shared" si="29"/>
        <v>-6.3530000000000655</v>
      </c>
      <c r="AE139" s="3"/>
      <c r="AF139" s="2"/>
      <c r="AG139" s="2"/>
      <c r="AH139" s="2"/>
      <c r="AI139" s="2"/>
      <c r="AJ139" s="6"/>
      <c r="AK139" s="6"/>
      <c r="AL139" s="6"/>
      <c r="AM139" s="6"/>
      <c r="AN139" s="6"/>
      <c r="AO139" s="6"/>
      <c r="AP139" s="6"/>
      <c r="AQ139" s="8"/>
      <c r="AR139" s="6"/>
      <c r="AS139" s="6"/>
      <c r="AT139" s="9"/>
      <c r="AU139" s="6"/>
      <c r="AV139" s="7"/>
      <c r="AW139" s="7"/>
      <c r="AX139" s="7"/>
      <c r="AY139" s="7"/>
      <c r="AZ139" s="7"/>
      <c r="BA139" s="7"/>
      <c r="BB139" s="6"/>
      <c r="BC139" s="6"/>
      <c r="BD139" s="6"/>
      <c r="BE139" s="6"/>
      <c r="BF139" s="6"/>
      <c r="BG139" s="6"/>
      <c r="BH139" s="6"/>
      <c r="BI139" s="6"/>
      <c r="BJ139" s="6"/>
      <c r="BK139" s="6"/>
      <c r="BL139" s="6"/>
      <c r="BM139" s="6"/>
      <c r="BN139" s="6"/>
      <c r="BO139" s="6"/>
      <c r="BP139" s="6"/>
      <c r="BQ139" s="8"/>
      <c r="BR139" s="6"/>
      <c r="BS139" s="6"/>
      <c r="BT139" s="8"/>
      <c r="BU139" s="6"/>
      <c r="BV139" s="6"/>
      <c r="BW139" s="6"/>
      <c r="BX139" s="8"/>
      <c r="BY139" s="6"/>
      <c r="BZ139" s="7"/>
      <c r="CA139" s="7"/>
      <c r="CB139" s="7"/>
      <c r="CC139" s="7"/>
      <c r="CD139" s="7"/>
      <c r="CE139" s="7"/>
    </row>
    <row r="140" spans="1:83" ht="14" x14ac:dyDescent="0.3">
      <c r="A140" s="2">
        <f t="shared" si="4"/>
        <v>69</v>
      </c>
      <c r="B140" s="2">
        <v>800.37900000000002</v>
      </c>
      <c r="C140" s="2">
        <v>698.702</v>
      </c>
      <c r="D140" s="2">
        <v>584.57799999999997</v>
      </c>
      <c r="E140" s="2">
        <v>787.6</v>
      </c>
      <c r="F140" s="2">
        <f t="shared" si="17"/>
        <v>-1282.18525</v>
      </c>
      <c r="G140">
        <f t="shared" si="25"/>
        <v>-6.8730000000000473</v>
      </c>
      <c r="H140" s="1">
        <v>874.68600000000004</v>
      </c>
      <c r="I140" s="1">
        <v>782.58699999999999</v>
      </c>
      <c r="J140" s="1">
        <v>1179.9090000000001</v>
      </c>
      <c r="K140" s="1">
        <v>751.08699999999999</v>
      </c>
      <c r="L140" s="2">
        <f t="shared" si="26"/>
        <v>-1102.9327499999999</v>
      </c>
      <c r="M140">
        <f t="shared" si="27"/>
        <v>-8.7450000000003456</v>
      </c>
      <c r="N140" s="1">
        <v>2166.5309999999999</v>
      </c>
      <c r="O140" s="1">
        <v>974.39099999999996</v>
      </c>
      <c r="P140" s="1">
        <v>1460.732</v>
      </c>
      <c r="Q140" s="1">
        <v>659.88</v>
      </c>
      <c r="R140" s="2">
        <f t="shared" si="21"/>
        <v>-684.61649999999986</v>
      </c>
      <c r="S140">
        <f t="shared" si="28"/>
        <v>-9.1160000000004402</v>
      </c>
      <c r="T140" s="1">
        <v>1260.3800000000001</v>
      </c>
      <c r="U140" s="1">
        <v>730.21299999999997</v>
      </c>
      <c r="V140" s="1">
        <v>1028.9159999999999</v>
      </c>
      <c r="W140" s="1">
        <v>842.03800000000001</v>
      </c>
      <c r="X140" s="2">
        <f t="shared" si="23"/>
        <v>-805.34050000000002</v>
      </c>
      <c r="Y140" s="6"/>
      <c r="Z140" s="7"/>
      <c r="AB140" s="6"/>
      <c r="AC140" s="8"/>
      <c r="AD140" s="2">
        <f t="shared" si="29"/>
        <v>-15.922999999999774</v>
      </c>
      <c r="AE140" s="2"/>
      <c r="AF140" s="2"/>
      <c r="AG140" s="2"/>
      <c r="AH140" s="2"/>
      <c r="AI140" s="2"/>
      <c r="AJ140" s="6"/>
      <c r="AK140" s="6"/>
      <c r="AL140" s="6"/>
      <c r="AM140" s="6"/>
      <c r="AN140" s="6"/>
      <c r="AO140" s="6"/>
      <c r="AP140" s="6"/>
      <c r="AQ140" s="8"/>
      <c r="AR140" s="6"/>
      <c r="AS140" s="6"/>
      <c r="AT140" s="6"/>
      <c r="AU140" s="6"/>
      <c r="AV140" s="7"/>
      <c r="AW140" s="7"/>
      <c r="AX140" s="7"/>
      <c r="AY140" s="7"/>
      <c r="BB140" s="6"/>
      <c r="BC140" s="6"/>
      <c r="BD140" s="6"/>
      <c r="BE140" s="6"/>
      <c r="BF140" s="6"/>
      <c r="BG140" s="6"/>
      <c r="BH140" s="6"/>
      <c r="BI140" s="6"/>
      <c r="BJ140" s="6"/>
      <c r="BK140" s="6"/>
      <c r="BL140" s="6"/>
      <c r="BM140" s="6"/>
      <c r="BN140" s="6"/>
      <c r="BO140" s="6"/>
      <c r="BP140" s="6"/>
      <c r="BQ140" s="8"/>
      <c r="BR140" s="6"/>
      <c r="BS140" s="6"/>
      <c r="BT140" s="8"/>
      <c r="BU140" s="6"/>
      <c r="BV140" s="6"/>
      <c r="BW140" s="6"/>
      <c r="BX140" s="8"/>
      <c r="BY140" s="6"/>
      <c r="BZ140" s="7"/>
      <c r="CA140" s="7"/>
      <c r="CB140" s="7"/>
      <c r="CC140" s="7"/>
      <c r="CD140" s="7"/>
      <c r="CE140" s="7"/>
    </row>
    <row r="141" spans="1:83" ht="14" x14ac:dyDescent="0.3">
      <c r="A141" s="2">
        <f t="shared" si="4"/>
        <v>69.5</v>
      </c>
      <c r="B141" s="2">
        <v>797.43399999999997</v>
      </c>
      <c r="C141" s="2">
        <v>695.26700000000005</v>
      </c>
      <c r="D141" s="2">
        <v>581.77300000000002</v>
      </c>
      <c r="E141" s="2">
        <v>780.80799999999999</v>
      </c>
      <c r="F141" s="2">
        <f t="shared" si="17"/>
        <v>-1286.1795</v>
      </c>
      <c r="G141">
        <f t="shared" si="25"/>
        <v>-6.3514999999997599</v>
      </c>
      <c r="H141" s="1">
        <v>879.27800000000002</v>
      </c>
      <c r="I141" s="1">
        <v>781.524</v>
      </c>
      <c r="J141" s="1">
        <v>1178.6990000000001</v>
      </c>
      <c r="K141" s="1">
        <v>762.98599999999999</v>
      </c>
      <c r="L141" s="2">
        <f t="shared" si="26"/>
        <v>-1099.37825</v>
      </c>
      <c r="M141">
        <f t="shared" si="27"/>
        <v>-14.180499999999483</v>
      </c>
      <c r="N141" s="1">
        <v>2156.9209999999998</v>
      </c>
      <c r="O141" s="1">
        <v>976.15499999999997</v>
      </c>
      <c r="P141" s="1">
        <v>1450.7719999999999</v>
      </c>
      <c r="Q141" s="1">
        <v>656.64499999999998</v>
      </c>
      <c r="R141" s="2">
        <f t="shared" si="21"/>
        <v>-689.8767499999999</v>
      </c>
      <c r="S141">
        <f t="shared" si="28"/>
        <v>-10.133499999999913</v>
      </c>
      <c r="T141" s="1">
        <v>1255.97</v>
      </c>
      <c r="U141" s="1">
        <v>728.87199999999996</v>
      </c>
      <c r="V141" s="1">
        <v>1026.1089999999999</v>
      </c>
      <c r="W141" s="1">
        <v>839.10799999999995</v>
      </c>
      <c r="X141" s="2">
        <f t="shared" si="23"/>
        <v>-808.51700000000005</v>
      </c>
      <c r="Y141" s="6"/>
      <c r="Z141" s="7"/>
      <c r="AB141" s="6"/>
      <c r="AC141" s="8"/>
      <c r="AD141" s="2">
        <f t="shared" si="29"/>
        <v>3.9479999999998654</v>
      </c>
      <c r="AE141" s="2"/>
      <c r="AF141" s="2"/>
      <c r="AG141" s="2"/>
      <c r="AH141" s="2"/>
      <c r="AI141" s="2"/>
      <c r="AJ141" s="6"/>
      <c r="AK141" s="6"/>
      <c r="AL141" s="6"/>
      <c r="AM141" s="6"/>
      <c r="AN141" s="6"/>
      <c r="AO141" s="6"/>
      <c r="AP141" s="6"/>
      <c r="AQ141" s="8"/>
      <c r="AR141" s="6"/>
      <c r="AS141" s="6"/>
      <c r="AT141" s="6"/>
      <c r="AU141" s="6"/>
      <c r="AV141" s="7"/>
      <c r="AW141" s="7"/>
      <c r="AX141" s="7"/>
      <c r="AY141" s="7"/>
      <c r="BB141" s="6"/>
      <c r="BC141" s="6"/>
      <c r="BD141" s="6"/>
      <c r="BE141" s="6"/>
      <c r="BF141" s="6"/>
      <c r="BG141" s="6"/>
      <c r="BH141" s="6"/>
      <c r="BI141" s="6"/>
      <c r="BJ141" s="6"/>
      <c r="BK141" s="6"/>
      <c r="BL141" s="6"/>
      <c r="BM141" s="6"/>
      <c r="BN141" s="6"/>
      <c r="BO141" s="6"/>
      <c r="BP141" s="6"/>
      <c r="BQ141" s="8"/>
      <c r="BR141" s="6"/>
      <c r="BS141" s="9"/>
      <c r="BT141" s="8"/>
      <c r="BU141" s="6"/>
      <c r="BV141" s="6"/>
      <c r="BW141" s="6"/>
      <c r="BX141" s="8"/>
      <c r="BY141" s="6"/>
      <c r="BZ141" s="7"/>
      <c r="CA141" s="7"/>
      <c r="CB141" s="7"/>
      <c r="CC141" s="7"/>
      <c r="CD141" s="7"/>
      <c r="CE141" s="7"/>
    </row>
    <row r="142" spans="1:83" ht="14" x14ac:dyDescent="0.3">
      <c r="A142" s="2">
        <f t="shared" si="4"/>
        <v>70</v>
      </c>
      <c r="B142" s="2">
        <v>794.476</v>
      </c>
      <c r="C142" s="2">
        <v>691.827</v>
      </c>
      <c r="D142" s="2">
        <v>579.46100000000001</v>
      </c>
      <c r="E142" s="2">
        <v>775.77200000000005</v>
      </c>
      <c r="F142" s="2">
        <f t="shared" si="17"/>
        <v>-1289.616</v>
      </c>
      <c r="G142">
        <f t="shared" si="25"/>
        <v>-6.5245000000004438</v>
      </c>
      <c r="H142" s="1">
        <v>869.66700000000003</v>
      </c>
      <c r="I142" s="1">
        <v>778.22500000000002</v>
      </c>
      <c r="J142" s="1">
        <v>1174.1189999999999</v>
      </c>
      <c r="K142" s="1">
        <v>762.98599999999999</v>
      </c>
      <c r="L142" s="2">
        <f t="shared" si="26"/>
        <v>-1103.7507500000002</v>
      </c>
      <c r="M142">
        <f t="shared" si="27"/>
        <v>-1.4530000000004293</v>
      </c>
      <c r="N142" s="1">
        <v>2152.1129999999998</v>
      </c>
      <c r="O142" s="1">
        <v>967.83199999999999</v>
      </c>
      <c r="P142" s="1">
        <v>1447.4090000000001</v>
      </c>
      <c r="Q142" s="1">
        <v>654.90700000000004</v>
      </c>
      <c r="R142" s="2">
        <f t="shared" si="21"/>
        <v>-694.43475000000012</v>
      </c>
      <c r="S142">
        <f t="shared" si="28"/>
        <v>-5.0075000000001637</v>
      </c>
      <c r="T142" s="1">
        <v>1235.53</v>
      </c>
      <c r="U142" s="1">
        <v>726.4</v>
      </c>
      <c r="V142" s="1">
        <v>1022.878</v>
      </c>
      <c r="W142" s="1">
        <v>837.68700000000001</v>
      </c>
      <c r="X142" s="2">
        <f t="shared" si="23"/>
        <v>-816.47849999999994</v>
      </c>
      <c r="Y142" s="6"/>
      <c r="Z142" s="7"/>
      <c r="AB142" s="6"/>
      <c r="AC142" s="8"/>
      <c r="AD142" s="2">
        <f t="shared" si="29"/>
        <v>-12.893999999999778</v>
      </c>
      <c r="AE142" s="3"/>
      <c r="AF142" s="2"/>
      <c r="AG142" s="2"/>
      <c r="AH142" s="2"/>
      <c r="AI142" s="2"/>
      <c r="AJ142" s="6"/>
      <c r="AK142" s="6"/>
      <c r="AL142" s="6"/>
      <c r="AM142" s="6"/>
      <c r="AN142" s="6"/>
      <c r="AO142" s="9"/>
      <c r="AP142" s="6"/>
      <c r="AQ142" s="8"/>
      <c r="AR142" s="6"/>
      <c r="AS142" s="6"/>
      <c r="AT142" s="6"/>
      <c r="AU142" s="6"/>
      <c r="AV142" s="7"/>
      <c r="AW142" s="7"/>
      <c r="AX142" s="7"/>
      <c r="AY142" s="7"/>
      <c r="BB142" s="8"/>
      <c r="BC142" s="6"/>
      <c r="BD142" s="6"/>
      <c r="BE142" s="6"/>
      <c r="BF142" s="8"/>
      <c r="BG142" s="6"/>
      <c r="BH142" s="6"/>
      <c r="BI142" s="6"/>
      <c r="BJ142" s="6"/>
      <c r="BK142" s="6"/>
      <c r="BL142" s="6"/>
      <c r="BM142" s="6"/>
      <c r="BN142" s="6"/>
      <c r="BO142" s="6"/>
      <c r="BP142" s="6"/>
      <c r="BQ142" s="8"/>
      <c r="BR142" s="6"/>
      <c r="BS142" s="6"/>
      <c r="BT142" s="8"/>
      <c r="BU142" s="6"/>
      <c r="BV142" s="6"/>
      <c r="BW142" s="6"/>
      <c r="BX142" s="8"/>
      <c r="BY142" s="6"/>
      <c r="BZ142" s="7"/>
      <c r="CA142" s="7"/>
      <c r="CB142" s="7"/>
      <c r="CC142" s="7"/>
      <c r="CD142" s="7"/>
      <c r="CE142" s="7"/>
    </row>
    <row r="143" spans="1:83" ht="14" x14ac:dyDescent="0.3">
      <c r="A143" s="2">
        <f t="shared" si="4"/>
        <v>70.5</v>
      </c>
      <c r="B143" s="2">
        <v>788.36199999999997</v>
      </c>
      <c r="C143" s="2">
        <v>691.35699999999997</v>
      </c>
      <c r="D143" s="2">
        <v>578.31899999999996</v>
      </c>
      <c r="E143" s="2">
        <v>770.79499999999996</v>
      </c>
      <c r="F143" s="2">
        <f t="shared" si="17"/>
        <v>-1292.7917499999999</v>
      </c>
      <c r="G143">
        <f t="shared" si="25"/>
        <v>-3.0744999999997162</v>
      </c>
      <c r="H143" s="1">
        <v>866.67</v>
      </c>
      <c r="I143" s="1">
        <v>775.33900000000006</v>
      </c>
      <c r="J143" s="1">
        <v>1168.9169999999999</v>
      </c>
      <c r="K143" s="1">
        <v>745.71</v>
      </c>
      <c r="L143" s="2">
        <f t="shared" si="26"/>
        <v>-1110.8409999999999</v>
      </c>
      <c r="M143">
        <f t="shared" si="27"/>
        <v>-7.0354999999999563</v>
      </c>
      <c r="N143" s="1">
        <v>2144.127</v>
      </c>
      <c r="O143" s="1">
        <v>962.33600000000001</v>
      </c>
      <c r="P143" s="1">
        <v>1441.769</v>
      </c>
      <c r="Q143" s="1">
        <v>653.76199999999994</v>
      </c>
      <c r="R143" s="2">
        <f t="shared" si="21"/>
        <v>-699.50150000000008</v>
      </c>
      <c r="S143">
        <f t="shared" si="28"/>
        <v>-7.6604999999995016</v>
      </c>
      <c r="T143" s="1">
        <v>1251.95</v>
      </c>
      <c r="U143" s="1">
        <v>724.62300000000005</v>
      </c>
      <c r="V143" s="1">
        <v>1020.393</v>
      </c>
      <c r="W143" s="1">
        <v>832.8</v>
      </c>
      <c r="X143" s="2">
        <f t="shared" si="23"/>
        <v>-814.50450000000001</v>
      </c>
      <c r="Y143" s="6"/>
      <c r="Z143" s="7"/>
      <c r="AB143" s="6"/>
      <c r="AC143" s="8"/>
      <c r="AD143" s="2">
        <f t="shared" si="29"/>
        <v>-6.4434999999998581</v>
      </c>
      <c r="AE143" s="2"/>
      <c r="AF143" s="2"/>
      <c r="AG143" s="2"/>
      <c r="AH143" s="2"/>
      <c r="AI143" s="2"/>
      <c r="AJ143" s="6"/>
      <c r="AK143" s="6"/>
      <c r="AL143" s="6"/>
      <c r="AM143" s="6"/>
      <c r="AN143" s="6"/>
      <c r="AO143" s="6"/>
      <c r="AP143" s="6"/>
      <c r="AQ143" s="8"/>
      <c r="AR143" s="6"/>
      <c r="AS143" s="6"/>
      <c r="AT143" s="6"/>
      <c r="AU143" s="6"/>
      <c r="AV143" s="7"/>
      <c r="AW143" s="7"/>
      <c r="AX143" s="7"/>
      <c r="AY143" s="7"/>
      <c r="BB143" s="8"/>
      <c r="BC143" s="6"/>
      <c r="BD143" s="9"/>
      <c r="BE143" s="6"/>
      <c r="BF143" s="8"/>
      <c r="BG143" s="6"/>
      <c r="BH143" s="6"/>
      <c r="BI143" s="6"/>
      <c r="BJ143" s="6"/>
      <c r="BK143" s="6"/>
      <c r="BL143" s="6"/>
      <c r="BM143" s="6"/>
      <c r="BN143" s="6"/>
      <c r="BO143" s="6"/>
      <c r="BP143" s="6"/>
      <c r="BQ143" s="8"/>
      <c r="BR143" s="6"/>
      <c r="BS143" s="6"/>
      <c r="BT143" s="8"/>
      <c r="BU143" s="6"/>
      <c r="BV143" s="6"/>
      <c r="BW143" s="6"/>
      <c r="BX143" s="8"/>
      <c r="BY143" s="6"/>
      <c r="BZ143" s="7"/>
      <c r="CA143" s="7"/>
      <c r="CB143" s="7"/>
      <c r="CC143" s="7"/>
      <c r="CD143" s="7"/>
      <c r="CE143" s="7"/>
    </row>
    <row r="144" spans="1:83" ht="14" x14ac:dyDescent="0.3">
      <c r="A144" s="2">
        <f t="shared" si="4"/>
        <v>71</v>
      </c>
      <c r="B144" s="2">
        <v>786.62199999999996</v>
      </c>
      <c r="C144" s="2">
        <v>685.423</v>
      </c>
      <c r="D144" s="2">
        <v>576.04700000000003</v>
      </c>
      <c r="E144" s="2">
        <v>767.69200000000001</v>
      </c>
      <c r="F144" s="2">
        <f t="shared" si="17"/>
        <v>-1296.0540000000001</v>
      </c>
      <c r="G144">
        <f t="shared" si="25"/>
        <v>-6.8290000000001783</v>
      </c>
      <c r="H144" s="1">
        <v>866.00199999999995</v>
      </c>
      <c r="I144" s="1">
        <v>772.55600000000004</v>
      </c>
      <c r="J144" s="1">
        <v>1165.1010000000001</v>
      </c>
      <c r="K144" s="1">
        <v>750.07100000000003</v>
      </c>
      <c r="L144" s="2">
        <f t="shared" si="26"/>
        <v>-1111.5675000000001</v>
      </c>
      <c r="M144">
        <f t="shared" si="27"/>
        <v>-5.5509999999999309</v>
      </c>
      <c r="N144" s="1">
        <v>2139.4679999999998</v>
      </c>
      <c r="O144" s="1">
        <v>961.95</v>
      </c>
      <c r="P144" s="1">
        <v>1439.4770000000001</v>
      </c>
      <c r="Q144" s="1">
        <v>651.08399999999995</v>
      </c>
      <c r="R144" s="2">
        <f t="shared" si="21"/>
        <v>-702.00525000000016</v>
      </c>
      <c r="S144">
        <f t="shared" si="28"/>
        <v>-11.208000000000084</v>
      </c>
      <c r="T144" s="10">
        <v>1243.8340000000001</v>
      </c>
      <c r="U144" s="1">
        <v>721.154</v>
      </c>
      <c r="V144" s="1">
        <v>1015.026</v>
      </c>
      <c r="W144" s="1">
        <v>830.74599999999998</v>
      </c>
      <c r="X144" s="2">
        <f t="shared" si="23"/>
        <v>-820.9514999999999</v>
      </c>
      <c r="Y144" s="6"/>
      <c r="Z144" s="7"/>
      <c r="AB144" s="6"/>
      <c r="AC144" s="8"/>
      <c r="AD144" s="2">
        <f t="shared" si="29"/>
        <v>-2.6625000000003638</v>
      </c>
      <c r="AE144" s="2"/>
      <c r="AF144" s="2"/>
      <c r="AG144" s="2"/>
      <c r="AH144" s="2"/>
      <c r="AI144" s="2"/>
      <c r="AJ144" s="6"/>
      <c r="AK144" s="6"/>
      <c r="AL144" s="6"/>
      <c r="AM144" s="6"/>
      <c r="AN144" s="6"/>
      <c r="AO144" s="6"/>
      <c r="AP144" s="6"/>
      <c r="AQ144" s="8"/>
      <c r="AR144" s="6"/>
      <c r="AS144" s="6"/>
      <c r="AT144" s="6"/>
      <c r="AU144" s="6"/>
      <c r="AV144" s="7"/>
      <c r="AW144" s="7"/>
      <c r="AX144" s="7"/>
      <c r="AY144" s="7"/>
      <c r="BB144" s="8"/>
      <c r="BC144" s="6"/>
      <c r="BD144" s="6"/>
      <c r="BE144" s="6"/>
      <c r="BF144" s="8"/>
      <c r="BG144" s="6"/>
      <c r="BH144" s="6"/>
      <c r="BI144" s="6"/>
      <c r="BJ144" s="6"/>
      <c r="BK144" s="6"/>
      <c r="BL144" s="9"/>
      <c r="BM144" s="6"/>
      <c r="BN144" s="6"/>
      <c r="BO144" s="6"/>
      <c r="BP144" s="6"/>
      <c r="BQ144" s="8"/>
      <c r="BR144" s="6"/>
      <c r="BS144" s="6"/>
      <c r="BT144" s="8"/>
      <c r="BU144" s="6"/>
      <c r="BV144" s="6"/>
      <c r="BW144" s="6"/>
      <c r="BX144" s="8"/>
      <c r="BY144" s="6"/>
      <c r="BZ144" s="7"/>
      <c r="CA144" s="7"/>
      <c r="CB144" s="7"/>
      <c r="CC144" s="7"/>
      <c r="CD144" s="7"/>
      <c r="CE144" s="7"/>
    </row>
    <row r="145" spans="1:83" ht="14" x14ac:dyDescent="0.3">
      <c r="A145" s="2">
        <f t="shared" si="4"/>
        <v>71.5</v>
      </c>
      <c r="B145" s="2">
        <v>783.976</v>
      </c>
      <c r="C145" s="2">
        <v>684.37099999999998</v>
      </c>
      <c r="D145" s="2">
        <v>574.08600000000001</v>
      </c>
      <c r="E145" s="2">
        <v>767.202</v>
      </c>
      <c r="F145" s="2">
        <f t="shared" si="17"/>
        <v>-1297.5912499999999</v>
      </c>
      <c r="G145">
        <f t="shared" si="25"/>
        <v>-356.404</v>
      </c>
      <c r="H145" s="1">
        <v>865.33500000000004</v>
      </c>
      <c r="I145" s="1">
        <v>771.06799999999998</v>
      </c>
      <c r="J145" s="1">
        <v>1161.51</v>
      </c>
      <c r="K145" s="1">
        <v>741.74599999999998</v>
      </c>
      <c r="L145" s="2">
        <f t="shared" si="26"/>
        <v>-1115.0852500000001</v>
      </c>
      <c r="M145">
        <f t="shared" si="27"/>
        <v>-1.1770000000001346</v>
      </c>
      <c r="N145" s="1">
        <v>2130.1779999999999</v>
      </c>
      <c r="O145" s="1">
        <v>962.74300000000005</v>
      </c>
      <c r="P145" s="1">
        <v>1436.0540000000001</v>
      </c>
      <c r="Q145" s="10">
        <v>647.68299999999999</v>
      </c>
      <c r="R145" s="2">
        <f t="shared" si="21"/>
        <v>-705.83549999999991</v>
      </c>
      <c r="S145">
        <f t="shared" si="28"/>
        <v>-6.2179999999998472</v>
      </c>
      <c r="T145" s="1">
        <v>1237.9190000000001</v>
      </c>
      <c r="U145" s="1">
        <v>719.09</v>
      </c>
      <c r="V145" s="1">
        <v>1013.604</v>
      </c>
      <c r="W145" s="1">
        <v>826.048</v>
      </c>
      <c r="X145" s="2">
        <f t="shared" si="23"/>
        <v>-824.17324999999983</v>
      </c>
      <c r="Y145" s="9"/>
      <c r="Z145" s="7"/>
      <c r="AB145" s="6"/>
      <c r="AC145" s="8"/>
      <c r="AD145" s="2">
        <f t="shared" si="29"/>
        <v>-9.9434999999998581</v>
      </c>
      <c r="AE145" s="2"/>
      <c r="AF145" s="3"/>
      <c r="AG145" s="3"/>
      <c r="AH145" s="2"/>
      <c r="AI145" s="2"/>
      <c r="AJ145" s="6"/>
      <c r="AK145" s="6"/>
      <c r="AL145" s="6"/>
      <c r="AM145" s="6"/>
      <c r="AN145" s="9"/>
      <c r="AO145" s="6"/>
      <c r="AP145" s="6"/>
      <c r="AQ145" s="8"/>
      <c r="AR145" s="6"/>
      <c r="AS145" s="6"/>
      <c r="AT145" s="6"/>
      <c r="AU145" s="6"/>
      <c r="AV145" s="7"/>
      <c r="AW145" s="7"/>
      <c r="AX145" s="7"/>
      <c r="AY145" s="7"/>
      <c r="BB145" s="8"/>
      <c r="BC145" s="6"/>
      <c r="BD145" s="6"/>
      <c r="BE145" s="6"/>
      <c r="BF145" s="8"/>
      <c r="BG145" s="6"/>
      <c r="BH145" s="6"/>
      <c r="BI145" s="6"/>
      <c r="BJ145" s="6"/>
      <c r="BK145" s="6"/>
      <c r="BL145" s="6"/>
      <c r="BM145" s="6"/>
      <c r="BN145" s="6"/>
      <c r="BO145" s="6"/>
      <c r="BP145" s="6"/>
      <c r="BQ145" s="8"/>
      <c r="BR145" s="6"/>
      <c r="BS145" s="6"/>
      <c r="BT145" s="8"/>
      <c r="BU145" s="6"/>
      <c r="BV145" s="6"/>
      <c r="BW145" s="6"/>
      <c r="BX145" s="8"/>
      <c r="BY145" s="6"/>
      <c r="BZ145" s="7"/>
      <c r="CA145" s="7"/>
      <c r="CB145" s="7"/>
      <c r="CC145" s="7"/>
      <c r="CD145" s="7"/>
      <c r="CE145" s="7"/>
    </row>
    <row r="146" spans="1:83" ht="14" x14ac:dyDescent="0.3">
      <c r="A146" s="2">
        <f t="shared" si="4"/>
        <v>72</v>
      </c>
      <c r="B146" s="2">
        <v>780.21699999999998</v>
      </c>
      <c r="C146" s="2">
        <v>680.86300000000006</v>
      </c>
      <c r="D146" s="2">
        <v>571.93399999999997</v>
      </c>
      <c r="E146" s="2">
        <v>762.96299999999997</v>
      </c>
      <c r="F146" s="2">
        <f t="shared" si="17"/>
        <v>-1301.00575</v>
      </c>
      <c r="G146">
        <f t="shared" si="25"/>
        <v>346.50150000000031</v>
      </c>
      <c r="H146" s="1">
        <v>861.35299999999995</v>
      </c>
      <c r="I146" s="1">
        <v>767.50599999999997</v>
      </c>
      <c r="J146" s="1">
        <v>1156.665</v>
      </c>
      <c r="K146" s="1">
        <v>743.03300000000002</v>
      </c>
      <c r="L146" s="2">
        <f t="shared" si="26"/>
        <v>-1117.8607500000001</v>
      </c>
      <c r="M146">
        <f t="shared" si="27"/>
        <v>-9.8354999999996835</v>
      </c>
      <c r="N146" s="1">
        <v>2123.5590000000002</v>
      </c>
      <c r="O146" s="1">
        <v>956.23299999999995</v>
      </c>
      <c r="P146" s="1">
        <v>1428.69</v>
      </c>
      <c r="Q146" s="1">
        <v>645.76</v>
      </c>
      <c r="R146" s="2">
        <f t="shared" si="21"/>
        <v>-711.43949999999995</v>
      </c>
      <c r="S146">
        <f t="shared" si="28"/>
        <v>-9.7505000000001019</v>
      </c>
      <c r="T146" s="1">
        <v>1238.7139999999999</v>
      </c>
      <c r="U146" s="1">
        <v>718.24400000000003</v>
      </c>
      <c r="V146" s="1">
        <v>1011.39</v>
      </c>
      <c r="W146" s="1">
        <v>825.93899999999996</v>
      </c>
      <c r="X146" s="2">
        <f t="shared" si="23"/>
        <v>-825.50450000000001</v>
      </c>
      <c r="Y146" s="6"/>
      <c r="Z146" s="7"/>
      <c r="AB146" s="6"/>
      <c r="AC146" s="8"/>
      <c r="AD146" s="2">
        <f t="shared" si="29"/>
        <v>-10.512000000000171</v>
      </c>
      <c r="AE146" s="2"/>
      <c r="AF146" s="2"/>
      <c r="AG146" s="2"/>
      <c r="AH146" s="2"/>
      <c r="AI146" s="2"/>
      <c r="AJ146" s="6"/>
      <c r="AK146" s="6"/>
      <c r="AL146" s="6"/>
      <c r="AM146" s="6"/>
      <c r="AN146" s="6"/>
      <c r="AO146" s="6"/>
      <c r="AP146" s="6"/>
      <c r="AQ146" s="8"/>
      <c r="AR146" s="6"/>
      <c r="AS146" s="6"/>
      <c r="AT146" s="6"/>
      <c r="AU146" s="6"/>
      <c r="AV146" s="7"/>
      <c r="AW146" s="7"/>
      <c r="AX146" s="7"/>
      <c r="AY146" s="7"/>
      <c r="BB146" s="8"/>
      <c r="BC146" s="6"/>
      <c r="BD146" s="6"/>
      <c r="BE146" s="6"/>
      <c r="BF146" s="8"/>
      <c r="BG146" s="6"/>
      <c r="BH146" s="6"/>
      <c r="BI146" s="6"/>
      <c r="BJ146" s="6"/>
      <c r="BK146" s="6"/>
      <c r="BL146" s="6"/>
      <c r="BM146" s="6"/>
      <c r="BN146" s="6"/>
      <c r="BO146" s="6"/>
      <c r="BP146" s="6"/>
      <c r="BQ146" s="8"/>
      <c r="BR146" s="6"/>
      <c r="BS146" s="6"/>
      <c r="BT146" s="8"/>
      <c r="BU146" s="6"/>
      <c r="BV146" s="6"/>
      <c r="BW146" s="6"/>
      <c r="BX146" s="8"/>
      <c r="BY146" s="6"/>
      <c r="BZ146" s="7"/>
      <c r="CA146" s="7"/>
      <c r="CB146" s="7"/>
      <c r="CC146" s="7"/>
      <c r="CD146" s="7"/>
      <c r="CE146" s="7"/>
    </row>
    <row r="147" spans="1:83" ht="14" x14ac:dyDescent="0.3">
      <c r="A147" s="2">
        <f t="shared" si="4"/>
        <v>72.5</v>
      </c>
      <c r="B147" s="2">
        <v>77.296000000000006</v>
      </c>
      <c r="C147" s="2">
        <v>677.45</v>
      </c>
      <c r="D147" s="2">
        <v>569.64300000000003</v>
      </c>
      <c r="E147" s="2">
        <v>758.78</v>
      </c>
      <c r="F147" s="2">
        <f t="shared" si="17"/>
        <v>-1479.20775</v>
      </c>
      <c r="G147">
        <f t="shared" si="25"/>
        <v>-7.6244999999998981</v>
      </c>
      <c r="H147" s="1">
        <v>858.42700000000002</v>
      </c>
      <c r="I147" s="1">
        <v>765.726</v>
      </c>
      <c r="J147" s="1">
        <v>1154.44</v>
      </c>
      <c r="K147" s="1">
        <v>747.61</v>
      </c>
      <c r="L147" s="2">
        <f t="shared" si="26"/>
        <v>-1118.4492500000001</v>
      </c>
      <c r="M147">
        <f t="shared" si="27"/>
        <v>-7.7450000000003456</v>
      </c>
      <c r="N147" s="1">
        <v>2116.77</v>
      </c>
      <c r="O147" s="1">
        <v>954.76499999999999</v>
      </c>
      <c r="P147" s="1">
        <v>1424.511</v>
      </c>
      <c r="Q147" s="1">
        <v>645.76</v>
      </c>
      <c r="R147" s="2">
        <f t="shared" si="21"/>
        <v>-714.54849999999988</v>
      </c>
      <c r="S147">
        <f t="shared" si="28"/>
        <v>-3.3005000000002838</v>
      </c>
      <c r="T147" s="1">
        <v>1232.5029999999999</v>
      </c>
      <c r="U147" s="1">
        <v>715.50900000000001</v>
      </c>
      <c r="V147" s="1">
        <v>1007.287</v>
      </c>
      <c r="W147" s="1">
        <v>820.57299999999998</v>
      </c>
      <c r="X147" s="2">
        <f t="shared" si="23"/>
        <v>-830.47624999999994</v>
      </c>
      <c r="Y147" s="6"/>
      <c r="Z147" s="7"/>
      <c r="AB147" s="6"/>
      <c r="AC147" s="8"/>
      <c r="AD147" s="2">
        <f t="shared" si="29"/>
        <v>-5.4425000000001091</v>
      </c>
      <c r="AE147" s="2"/>
      <c r="AF147" s="2"/>
      <c r="AG147" s="2"/>
      <c r="AH147" s="2"/>
      <c r="AI147" s="2"/>
      <c r="AJ147" s="6"/>
      <c r="AK147" s="6"/>
      <c r="AL147" s="6"/>
      <c r="AM147" s="6"/>
      <c r="AN147" s="6"/>
      <c r="AO147" s="6"/>
      <c r="AP147" s="6"/>
      <c r="AQ147" s="8"/>
      <c r="AR147" s="6"/>
      <c r="AS147" s="6"/>
      <c r="AT147" s="6"/>
      <c r="AU147" s="6"/>
      <c r="AV147" s="7"/>
      <c r="AW147" s="7"/>
      <c r="AX147" s="7"/>
      <c r="AY147" s="7"/>
      <c r="BB147" s="8"/>
      <c r="BC147" s="6"/>
      <c r="BD147" s="6"/>
      <c r="BE147" s="6"/>
      <c r="BF147" s="8"/>
      <c r="BG147" s="6"/>
      <c r="BH147" s="6"/>
      <c r="BI147" s="6"/>
      <c r="BJ147" s="6"/>
      <c r="BK147" s="6"/>
      <c r="BL147" s="6"/>
      <c r="BM147" s="6"/>
      <c r="BN147" s="6"/>
      <c r="BO147" s="6"/>
      <c r="BP147" s="6"/>
      <c r="BQ147" s="8"/>
      <c r="BR147" s="6"/>
      <c r="BS147" s="6"/>
      <c r="BT147" s="8"/>
      <c r="BU147" s="6"/>
      <c r="BV147" s="6"/>
      <c r="BW147" s="6"/>
      <c r="BX147" s="8"/>
      <c r="BY147" s="6"/>
      <c r="BZ147" s="7"/>
      <c r="CA147" s="7"/>
      <c r="CB147" s="7"/>
      <c r="CC147" s="7"/>
      <c r="CD147" s="7"/>
      <c r="CE147" s="7"/>
    </row>
    <row r="148" spans="1:83" ht="14" x14ac:dyDescent="0.3">
      <c r="A148" s="2">
        <f t="shared" si="4"/>
        <v>73</v>
      </c>
      <c r="B148" s="2">
        <v>774.452</v>
      </c>
      <c r="C148" s="2">
        <v>675.85500000000002</v>
      </c>
      <c r="D148" s="2">
        <v>568.27300000000002</v>
      </c>
      <c r="E148" s="2">
        <v>757.59199999999998</v>
      </c>
      <c r="F148" s="2">
        <f t="shared" si="17"/>
        <v>-1305.9569999999999</v>
      </c>
      <c r="G148">
        <f t="shared" si="25"/>
        <v>-5.61200000000008</v>
      </c>
      <c r="H148" s="1">
        <v>859.16600000000005</v>
      </c>
      <c r="I148" s="1">
        <v>761.19600000000003</v>
      </c>
      <c r="J148" s="1">
        <v>1149.2719999999999</v>
      </c>
      <c r="K148" s="1">
        <v>736.89800000000002</v>
      </c>
      <c r="L148" s="2">
        <f t="shared" si="26"/>
        <v>-1123.367</v>
      </c>
      <c r="M148">
        <f t="shared" si="27"/>
        <v>-1.2309999999997672</v>
      </c>
      <c r="N148" s="1">
        <v>2103.364</v>
      </c>
      <c r="O148" s="1">
        <v>953.37800000000004</v>
      </c>
      <c r="P148" s="1">
        <v>1421.1320000000001</v>
      </c>
      <c r="Q148" s="1">
        <v>644.43100000000004</v>
      </c>
      <c r="R148" s="2">
        <f t="shared" si="21"/>
        <v>-719.42374999999993</v>
      </c>
      <c r="S148">
        <f t="shared" si="28"/>
        <v>-8.5479999999997744</v>
      </c>
      <c r="T148" s="1">
        <v>1219.5250000000001</v>
      </c>
      <c r="U148" s="1">
        <v>713.53099999999995</v>
      </c>
      <c r="V148" s="1">
        <v>1005.242</v>
      </c>
      <c r="W148" s="1">
        <v>819.89099999999996</v>
      </c>
      <c r="X148" s="2">
        <f t="shared" si="23"/>
        <v>-835.73225000000002</v>
      </c>
      <c r="Y148" s="6"/>
      <c r="Z148" s="7"/>
      <c r="AB148" s="6"/>
      <c r="AC148" s="8"/>
      <c r="AD148" s="2">
        <f t="shared" si="29"/>
        <v>-6.8260000000000218</v>
      </c>
      <c r="AE148" s="2"/>
      <c r="AF148" s="2"/>
      <c r="AG148" s="2"/>
      <c r="AH148" s="2"/>
      <c r="AI148" s="2"/>
      <c r="AJ148" s="6"/>
      <c r="AK148" s="6"/>
      <c r="AL148" s="6"/>
      <c r="AM148" s="6"/>
      <c r="AN148" s="6"/>
      <c r="AO148" s="9"/>
      <c r="AP148" s="6"/>
      <c r="AQ148" s="8"/>
      <c r="AR148" s="6"/>
      <c r="AS148" s="6"/>
      <c r="AT148" s="6"/>
      <c r="AU148" s="6"/>
      <c r="AV148" s="7"/>
      <c r="AW148" s="7"/>
      <c r="AX148" s="7"/>
      <c r="AY148" s="7"/>
      <c r="BB148" s="8"/>
      <c r="BC148" s="6"/>
      <c r="BD148" s="6"/>
      <c r="BE148" s="6"/>
      <c r="BF148" s="8"/>
      <c r="BG148" s="6"/>
      <c r="BH148" s="6"/>
      <c r="BI148" s="6"/>
      <c r="BJ148" s="6"/>
      <c r="BK148" s="6"/>
      <c r="BL148" s="6"/>
      <c r="BM148" s="6"/>
      <c r="BN148" s="6"/>
      <c r="BO148" s="6"/>
      <c r="BP148" s="6"/>
      <c r="BQ148" s="8"/>
      <c r="BR148" s="6"/>
      <c r="BS148" s="6"/>
      <c r="BT148" s="8"/>
      <c r="BU148" s="6"/>
      <c r="BV148" s="6"/>
      <c r="BW148" s="6"/>
      <c r="BX148" s="8"/>
      <c r="BY148" s="6"/>
      <c r="BZ148" s="7"/>
      <c r="CA148" s="7"/>
      <c r="CB148" s="7"/>
      <c r="CC148" s="7"/>
      <c r="CD148" s="7"/>
      <c r="CE148" s="7"/>
    </row>
    <row r="149" spans="1:83" ht="14" x14ac:dyDescent="0.3">
      <c r="A149" s="2">
        <f t="shared" si="4"/>
        <v>73.5</v>
      </c>
      <c r="B149" s="2">
        <v>770.71500000000003</v>
      </c>
      <c r="C149" s="2">
        <v>672.64800000000002</v>
      </c>
      <c r="D149" s="2">
        <v>566.96900000000005</v>
      </c>
      <c r="E149" s="2">
        <v>750.59100000000001</v>
      </c>
      <c r="F149" s="2">
        <f t="shared" si="17"/>
        <v>-1309.7692499999998</v>
      </c>
      <c r="G149">
        <f t="shared" si="25"/>
        <v>-4.3120000000003529</v>
      </c>
      <c r="H149" s="1">
        <v>859.37099999999998</v>
      </c>
      <c r="I149" s="1">
        <v>756.62099999999998</v>
      </c>
      <c r="J149" s="1">
        <v>1142.944</v>
      </c>
      <c r="K149" s="1">
        <v>732.10599999999999</v>
      </c>
      <c r="L149" s="2">
        <f t="shared" si="26"/>
        <v>-1127.2395000000001</v>
      </c>
      <c r="M149">
        <f t="shared" si="27"/>
        <v>-2.8375000000000909</v>
      </c>
      <c r="N149" s="1">
        <v>2104.712</v>
      </c>
      <c r="O149" s="1">
        <v>951.25599999999997</v>
      </c>
      <c r="P149" s="1">
        <v>1416.951</v>
      </c>
      <c r="Q149" s="1">
        <v>642.78499999999997</v>
      </c>
      <c r="R149" s="2">
        <f t="shared" si="21"/>
        <v>-721.07400000000007</v>
      </c>
      <c r="S149">
        <f t="shared" si="28"/>
        <v>-9.4920000000001892</v>
      </c>
      <c r="T149" s="1">
        <v>1223.52</v>
      </c>
      <c r="U149" s="1">
        <v>710.5</v>
      </c>
      <c r="V149" s="1">
        <v>1000.833</v>
      </c>
      <c r="W149" s="1">
        <v>816.02</v>
      </c>
      <c r="X149" s="2">
        <f t="shared" si="23"/>
        <v>-838.45350000000008</v>
      </c>
      <c r="Y149" s="6"/>
      <c r="Z149" s="7"/>
      <c r="AB149" s="6"/>
      <c r="AC149" s="8"/>
      <c r="AD149" s="2">
        <f t="shared" si="29"/>
        <v>-4.7039999999997235</v>
      </c>
      <c r="AE149" s="2"/>
      <c r="AF149" s="2"/>
      <c r="AG149" s="2"/>
      <c r="AH149" s="2"/>
      <c r="AI149" s="2"/>
      <c r="AJ149" s="9"/>
      <c r="AK149" s="6"/>
      <c r="AL149" s="6"/>
      <c r="AM149" s="6"/>
      <c r="AN149" s="6"/>
      <c r="AO149" s="6"/>
      <c r="AP149" s="6"/>
      <c r="AQ149" s="8"/>
      <c r="AR149" s="6"/>
      <c r="AS149" s="6"/>
      <c r="AT149" s="6"/>
      <c r="AU149" s="6"/>
      <c r="AV149" s="7"/>
      <c r="AW149" s="7"/>
      <c r="AX149" s="7"/>
      <c r="AY149" s="7"/>
      <c r="BB149" s="8"/>
      <c r="BC149" s="6"/>
      <c r="BD149" s="6"/>
      <c r="BE149" s="6"/>
      <c r="BF149" s="8"/>
      <c r="BG149" s="6"/>
      <c r="BH149" s="6"/>
      <c r="BI149" s="6"/>
      <c r="BJ149" s="6"/>
      <c r="BK149" s="6"/>
      <c r="BL149" s="6"/>
      <c r="BM149" s="6"/>
      <c r="BN149" s="6"/>
      <c r="BO149" s="6"/>
      <c r="BP149" s="6"/>
      <c r="BQ149" s="8"/>
      <c r="BR149" s="6"/>
      <c r="BS149" s="6"/>
      <c r="BT149" s="8"/>
      <c r="BU149" s="6"/>
      <c r="BV149" s="6"/>
      <c r="BW149" s="6"/>
      <c r="BX149" s="8"/>
      <c r="BY149" s="6"/>
      <c r="BZ149" s="7"/>
      <c r="CA149" s="7"/>
      <c r="CB149" s="7"/>
      <c r="CC149" s="7"/>
      <c r="CD149" s="7"/>
      <c r="CE149" s="7"/>
    </row>
    <row r="150" spans="1:83" ht="14" x14ac:dyDescent="0.3">
      <c r="A150" s="2">
        <f t="shared" si="4"/>
        <v>74</v>
      </c>
      <c r="B150" s="2">
        <v>767.58299999999997</v>
      </c>
      <c r="C150" s="2">
        <v>668.72400000000005</v>
      </c>
      <c r="D150" s="2">
        <v>565.83399999999995</v>
      </c>
      <c r="E150" s="2">
        <v>747.55799999999999</v>
      </c>
      <c r="F150" s="2">
        <f t="shared" si="17"/>
        <v>-1312.5752499999999</v>
      </c>
      <c r="G150">
        <f t="shared" si="25"/>
        <v>-2.2970000000000255</v>
      </c>
      <c r="H150" s="1">
        <v>852.61599999999999</v>
      </c>
      <c r="I150" s="1">
        <v>757.73199999999997</v>
      </c>
      <c r="J150" s="1">
        <v>1141.7670000000001</v>
      </c>
      <c r="K150" s="1">
        <v>736.46500000000003</v>
      </c>
      <c r="L150" s="2">
        <f t="shared" si="26"/>
        <v>-1127.855</v>
      </c>
      <c r="M150">
        <f t="shared" si="27"/>
        <v>-10.859500000000025</v>
      </c>
      <c r="N150" s="1">
        <v>2096.1460000000002</v>
      </c>
      <c r="O150" s="1">
        <v>948.98800000000006</v>
      </c>
      <c r="P150" s="1">
        <v>1412.1990000000001</v>
      </c>
      <c r="Q150" s="1">
        <v>641.27499999999998</v>
      </c>
      <c r="R150" s="2">
        <f t="shared" si="21"/>
        <v>-725.34799999999996</v>
      </c>
      <c r="S150">
        <f t="shared" si="28"/>
        <v>-2.5675000000001091</v>
      </c>
      <c r="T150" s="1">
        <v>1219.0139999999999</v>
      </c>
      <c r="U150" s="1">
        <v>708.86300000000006</v>
      </c>
      <c r="V150" s="1">
        <v>997.89700000000005</v>
      </c>
      <c r="W150" s="1">
        <v>814.072</v>
      </c>
      <c r="X150" s="2">
        <f t="shared" si="23"/>
        <v>-841.86650000000009</v>
      </c>
      <c r="Y150" s="6"/>
      <c r="Z150" s="7"/>
      <c r="AB150" s="6"/>
      <c r="AC150" s="8"/>
      <c r="AD150" s="2">
        <f t="shared" si="29"/>
        <v>-6.0815000000002328</v>
      </c>
      <c r="AE150" s="2"/>
      <c r="AF150" s="2"/>
      <c r="AG150" s="3"/>
      <c r="AH150" s="2"/>
      <c r="AI150" s="3"/>
      <c r="AJ150" s="6"/>
      <c r="AK150" s="6"/>
      <c r="AL150" s="6"/>
      <c r="AM150" s="6"/>
      <c r="AN150" s="6"/>
      <c r="AO150" s="6"/>
      <c r="AP150" s="6"/>
      <c r="AQ150" s="8"/>
      <c r="AR150" s="6"/>
      <c r="AS150" s="6"/>
      <c r="AT150" s="6"/>
      <c r="AU150" s="6"/>
      <c r="AV150" s="7"/>
      <c r="AW150" s="11"/>
      <c r="AX150" s="7"/>
      <c r="AY150" s="7"/>
      <c r="BB150" s="6"/>
      <c r="BC150" s="6"/>
      <c r="BD150" s="6"/>
      <c r="BE150" s="6"/>
      <c r="BF150" s="6"/>
      <c r="BG150" s="6"/>
      <c r="BH150" s="6"/>
      <c r="BI150" s="6"/>
      <c r="BJ150" s="6"/>
      <c r="BK150" s="6"/>
      <c r="BL150" s="6"/>
      <c r="BM150" s="6"/>
      <c r="BN150" s="6"/>
      <c r="BO150" s="6"/>
      <c r="BP150" s="6"/>
      <c r="BQ150" s="8"/>
      <c r="BR150" s="6"/>
      <c r="BS150" s="6"/>
      <c r="BT150" s="8"/>
      <c r="BU150" s="6"/>
      <c r="BV150" s="6"/>
      <c r="BW150" s="6"/>
      <c r="BX150" s="8"/>
      <c r="BY150" s="6"/>
      <c r="BZ150" s="7"/>
      <c r="CA150" s="7"/>
      <c r="CB150" s="7"/>
      <c r="CC150" s="11"/>
      <c r="CD150" s="7"/>
      <c r="CE150" s="7"/>
    </row>
    <row r="151" spans="1:83" ht="14" x14ac:dyDescent="0.3">
      <c r="A151" s="2">
        <f t="shared" si="4"/>
        <v>74.5</v>
      </c>
      <c r="B151" s="3">
        <v>764.04899999999998</v>
      </c>
      <c r="C151" s="2">
        <v>668.30600000000004</v>
      </c>
      <c r="D151" s="2">
        <v>564.25599999999997</v>
      </c>
      <c r="E151" s="2">
        <v>744.46400000000006</v>
      </c>
      <c r="F151" s="2">
        <f t="shared" si="17"/>
        <v>-1314.73125</v>
      </c>
      <c r="G151">
        <f t="shared" si="25"/>
        <v>-5.9425000000001091</v>
      </c>
      <c r="H151" s="1">
        <v>849.20799999999997</v>
      </c>
      <c r="I151" s="1">
        <v>755.42899999999997</v>
      </c>
      <c r="J151" s="1">
        <v>1138.5429999999999</v>
      </c>
      <c r="K151" s="1">
        <v>739.72500000000002</v>
      </c>
      <c r="L151" s="2">
        <f t="shared" si="26"/>
        <v>-1129.2737500000001</v>
      </c>
      <c r="M151">
        <f t="shared" si="27"/>
        <v>2.311500000000251</v>
      </c>
      <c r="N151" s="1">
        <v>2083.6819999999998</v>
      </c>
      <c r="O151" s="1">
        <v>948.83600000000001</v>
      </c>
      <c r="P151" s="1">
        <v>1408.0219999999999</v>
      </c>
      <c r="Q151" s="1">
        <v>639.08399999999995</v>
      </c>
      <c r="R151" s="2">
        <f t="shared" si="21"/>
        <v>-730.09400000000005</v>
      </c>
      <c r="S151">
        <f t="shared" si="28"/>
        <v>-9.7404999999994288</v>
      </c>
      <c r="T151" s="1">
        <v>1217.1600000000001</v>
      </c>
      <c r="U151" s="1">
        <v>707.09</v>
      </c>
      <c r="V151" s="1">
        <v>995.89300000000003</v>
      </c>
      <c r="W151" s="1">
        <v>812.26499999999999</v>
      </c>
      <c r="X151" s="2">
        <f t="shared" si="23"/>
        <v>-844.21849999999995</v>
      </c>
      <c r="Y151" s="6"/>
      <c r="Z151" s="7"/>
      <c r="AB151" s="6"/>
      <c r="AC151" s="8"/>
      <c r="AD151" s="2">
        <f t="shared" si="29"/>
        <v>-7.293999999999869</v>
      </c>
      <c r="AE151" s="2"/>
      <c r="AF151" s="2"/>
      <c r="AG151" s="2"/>
      <c r="AH151" s="2"/>
      <c r="AI151" s="2"/>
      <c r="AJ151" s="6"/>
      <c r="AK151" s="6"/>
      <c r="AL151" s="6"/>
      <c r="AM151" s="6"/>
      <c r="AN151" s="6"/>
      <c r="AO151" s="6"/>
      <c r="AP151" s="6"/>
      <c r="AQ151" s="8"/>
      <c r="AR151" s="6"/>
      <c r="AS151" s="6"/>
      <c r="AT151" s="6"/>
      <c r="AU151" s="8"/>
      <c r="AV151" s="7"/>
      <c r="AW151" s="7"/>
      <c r="AX151" s="7"/>
      <c r="AY151" s="7"/>
      <c r="BB151" s="6"/>
      <c r="BC151" s="6"/>
      <c r="BD151" s="6"/>
      <c r="BE151" s="6"/>
      <c r="BF151" s="6"/>
      <c r="BG151" s="6"/>
      <c r="BH151" s="6"/>
      <c r="BI151" s="6"/>
      <c r="BJ151" s="6"/>
      <c r="BK151" s="6"/>
      <c r="BL151" s="6"/>
      <c r="BM151" s="6"/>
      <c r="BN151" s="6"/>
      <c r="BO151" s="6"/>
      <c r="BP151" s="6"/>
      <c r="BQ151" s="8"/>
      <c r="BR151" s="6"/>
      <c r="BS151" s="9"/>
      <c r="BT151" s="8"/>
      <c r="BU151" s="6"/>
      <c r="BV151" s="6"/>
      <c r="BW151" s="6"/>
      <c r="BX151" s="8"/>
      <c r="BY151" s="6"/>
      <c r="BZ151" s="7"/>
      <c r="CA151" s="7"/>
      <c r="CB151" s="7"/>
      <c r="CC151" s="7"/>
      <c r="CD151" s="7"/>
      <c r="CE151" s="7"/>
    </row>
    <row r="152" spans="1:83" ht="14" x14ac:dyDescent="0.3">
      <c r="A152" s="2">
        <f t="shared" si="4"/>
        <v>75</v>
      </c>
      <c r="B152" s="2">
        <v>762.70299999999997</v>
      </c>
      <c r="C152" s="2">
        <v>666.90599999999995</v>
      </c>
      <c r="D152" s="2">
        <v>564.17399999999998</v>
      </c>
      <c r="E152" s="2">
        <v>742.69799999999998</v>
      </c>
      <c r="F152" s="2">
        <f t="shared" si="17"/>
        <v>-1315.8797500000001</v>
      </c>
      <c r="G152">
        <f t="shared" si="25"/>
        <v>-1.3769999999999527</v>
      </c>
      <c r="H152" s="1">
        <v>846.53099999999995</v>
      </c>
      <c r="I152" s="1">
        <v>753.77099999999996</v>
      </c>
      <c r="J152" s="1">
        <v>1133.8330000000001</v>
      </c>
      <c r="K152" s="1">
        <v>727.05100000000004</v>
      </c>
      <c r="L152" s="2">
        <f t="shared" si="26"/>
        <v>-1134.7035000000001</v>
      </c>
      <c r="M152">
        <f t="shared" si="27"/>
        <v>-4.3775000000000546</v>
      </c>
      <c r="N152" s="1">
        <v>2080.0630000000001</v>
      </c>
      <c r="O152" s="1">
        <v>948.31700000000001</v>
      </c>
      <c r="P152" s="1">
        <v>1407.098</v>
      </c>
      <c r="Q152" s="1">
        <v>639.01099999999997</v>
      </c>
      <c r="R152" s="2">
        <f t="shared" si="21"/>
        <v>-731.37775000000011</v>
      </c>
      <c r="S152">
        <f t="shared" si="28"/>
        <v>-4.580000000000382</v>
      </c>
      <c r="T152" s="1">
        <v>1213.925</v>
      </c>
      <c r="U152" s="1">
        <v>705.505</v>
      </c>
      <c r="V152" s="1">
        <v>993.01400000000001</v>
      </c>
      <c r="W152" s="1">
        <v>810.101</v>
      </c>
      <c r="X152" s="2">
        <f t="shared" si="23"/>
        <v>-847.25925000000007</v>
      </c>
      <c r="Y152" s="6"/>
      <c r="Z152" s="7"/>
      <c r="AB152" s="6"/>
      <c r="AC152" s="8"/>
      <c r="AD152" s="2">
        <f t="shared" si="29"/>
        <v>-1.5199999999999818</v>
      </c>
      <c r="AE152" s="2"/>
      <c r="AF152" s="2"/>
      <c r="AG152" s="2"/>
      <c r="AH152" s="3"/>
      <c r="AI152" s="2"/>
      <c r="AJ152" s="6"/>
      <c r="AK152" s="6"/>
      <c r="AL152" s="6"/>
      <c r="AM152" s="6"/>
      <c r="AN152" s="6"/>
      <c r="AO152" s="6"/>
      <c r="AP152" s="6"/>
      <c r="AQ152" s="8"/>
      <c r="AR152" s="6"/>
      <c r="AS152" s="6"/>
      <c r="AT152" s="6"/>
      <c r="AU152" s="8"/>
      <c r="AV152" s="7"/>
      <c r="AW152" s="7"/>
      <c r="AX152" s="7"/>
      <c r="AY152" s="7"/>
      <c r="BB152" s="6"/>
      <c r="BC152" s="6"/>
      <c r="BD152" s="6"/>
      <c r="BE152" s="6"/>
      <c r="BF152" s="6"/>
      <c r="BG152" s="6"/>
      <c r="BH152" s="6"/>
      <c r="BI152" s="6"/>
      <c r="BJ152" s="6"/>
      <c r="BK152" s="6"/>
      <c r="BL152" s="6"/>
      <c r="BM152" s="6"/>
      <c r="BN152" s="6"/>
      <c r="BO152" s="6"/>
      <c r="BP152" s="6"/>
      <c r="BQ152" s="8"/>
      <c r="BR152" s="6"/>
      <c r="BS152" s="6"/>
      <c r="BT152" s="8"/>
      <c r="BU152" s="6"/>
      <c r="BV152" s="6"/>
      <c r="BW152" s="6"/>
      <c r="BX152" s="8"/>
      <c r="BY152" s="6"/>
      <c r="BZ152" s="7"/>
      <c r="CA152" s="7"/>
      <c r="CB152" s="7"/>
      <c r="CC152" s="7"/>
      <c r="CD152" s="7"/>
      <c r="CE152" s="7"/>
    </row>
    <row r="153" spans="1:83" ht="14" x14ac:dyDescent="0.3">
      <c r="A153" s="2">
        <f t="shared" si="4"/>
        <v>75.5</v>
      </c>
      <c r="B153" s="2">
        <v>760.22500000000002</v>
      </c>
      <c r="C153" s="2">
        <v>663.53099999999995</v>
      </c>
      <c r="D153" s="2">
        <v>561.79100000000005</v>
      </c>
      <c r="E153" s="2">
        <v>739.04899999999998</v>
      </c>
      <c r="F153" s="2">
        <f t="shared" si="17"/>
        <v>-1318.8510000000001</v>
      </c>
      <c r="G153">
        <f t="shared" si="25"/>
        <v>-3.1619999999998072</v>
      </c>
      <c r="H153" s="1">
        <v>846.03</v>
      </c>
      <c r="I153" s="1">
        <v>753.15700000000004</v>
      </c>
      <c r="J153" s="1">
        <v>1133.8150000000001</v>
      </c>
      <c r="K153" s="1">
        <v>732.80700000000002</v>
      </c>
      <c r="L153" s="2">
        <f t="shared" si="26"/>
        <v>-1133.54775</v>
      </c>
      <c r="M153">
        <f t="shared" si="27"/>
        <v>-7.8074999999998909</v>
      </c>
      <c r="N153" s="1">
        <v>2071.6669999999999</v>
      </c>
      <c r="O153" s="1">
        <v>944.72199999999998</v>
      </c>
      <c r="P153" s="1">
        <v>1401.5730000000001</v>
      </c>
      <c r="Q153" s="1">
        <v>637.04600000000005</v>
      </c>
      <c r="R153" s="2">
        <f t="shared" si="21"/>
        <v>-736.24799999999982</v>
      </c>
      <c r="S153">
        <f t="shared" si="28"/>
        <v>-4.9524999999998727</v>
      </c>
      <c r="T153" s="1">
        <v>1209.7729999999999</v>
      </c>
      <c r="U153" s="1">
        <v>703.27300000000002</v>
      </c>
      <c r="V153" s="1">
        <v>990.02800000000002</v>
      </c>
      <c r="W153" s="1">
        <v>806.40599999999995</v>
      </c>
      <c r="X153" s="2">
        <f t="shared" si="23"/>
        <v>-850.90625</v>
      </c>
      <c r="Y153" s="6"/>
      <c r="Z153" s="7"/>
      <c r="AB153" s="6"/>
      <c r="AC153" s="8"/>
      <c r="AD153" s="2">
        <f t="shared" si="29"/>
        <v>-6.7815000000000509</v>
      </c>
      <c r="AE153" s="2"/>
      <c r="AF153" s="2"/>
      <c r="AG153" s="2"/>
      <c r="AH153" s="2"/>
      <c r="AI153" s="2"/>
      <c r="AJ153" s="6"/>
      <c r="AK153" s="6"/>
      <c r="AL153" s="6"/>
      <c r="AM153" s="6"/>
      <c r="AN153" s="6"/>
      <c r="AO153" s="6"/>
      <c r="AP153" s="6"/>
      <c r="AQ153" s="8"/>
      <c r="AR153" s="6"/>
      <c r="AS153" s="6"/>
      <c r="AT153" s="9"/>
      <c r="AU153" s="8"/>
      <c r="AV153" s="7"/>
      <c r="AW153" s="7"/>
      <c r="AX153" s="7"/>
      <c r="AY153" s="7"/>
      <c r="BB153" s="6"/>
      <c r="BC153" s="6"/>
      <c r="BD153" s="6"/>
      <c r="BE153" s="6"/>
      <c r="BF153" s="6"/>
      <c r="BG153" s="6"/>
      <c r="BH153" s="6"/>
      <c r="BI153" s="6"/>
      <c r="BJ153" s="6"/>
      <c r="BK153" s="6"/>
      <c r="BL153" s="6"/>
      <c r="BM153" s="6"/>
      <c r="BN153" s="6"/>
      <c r="BO153" s="6"/>
      <c r="BP153" s="6"/>
      <c r="BQ153" s="8"/>
      <c r="BR153" s="6"/>
      <c r="BS153" s="6"/>
      <c r="BT153" s="8"/>
      <c r="BU153" s="6"/>
      <c r="BV153" s="6"/>
      <c r="BW153" s="6"/>
      <c r="BX153" s="8"/>
      <c r="BY153" s="6"/>
      <c r="BZ153" s="7"/>
      <c r="CA153" s="7"/>
      <c r="CB153" s="7"/>
      <c r="CC153" s="7"/>
      <c r="CD153" s="7"/>
      <c r="CE153" s="7"/>
    </row>
    <row r="154" spans="1:83" ht="14" x14ac:dyDescent="0.3">
      <c r="A154" s="2">
        <f t="shared" si="4"/>
        <v>76</v>
      </c>
      <c r="B154" s="2">
        <v>758.76599999999996</v>
      </c>
      <c r="C154" s="3">
        <v>663.36699999999996</v>
      </c>
      <c r="D154" s="2">
        <v>561.20399999999995</v>
      </c>
      <c r="E154" s="2">
        <v>738.505</v>
      </c>
      <c r="F154" s="2">
        <f t="shared" si="17"/>
        <v>-1319.5395000000001</v>
      </c>
      <c r="G154">
        <f t="shared" si="25"/>
        <v>-4.7829999999999018</v>
      </c>
      <c r="H154" s="1">
        <v>847.10199999999998</v>
      </c>
      <c r="I154" s="1">
        <v>751.95</v>
      </c>
      <c r="J154" s="1">
        <v>1132.03</v>
      </c>
      <c r="K154" s="1">
        <v>725.97199999999998</v>
      </c>
      <c r="L154" s="2">
        <f t="shared" si="26"/>
        <v>-1135.7365</v>
      </c>
      <c r="M154">
        <f t="shared" si="27"/>
        <v>1.4344999999998436</v>
      </c>
      <c r="N154" s="1">
        <v>2070.2919999999999</v>
      </c>
      <c r="O154" s="1">
        <v>941.74300000000005</v>
      </c>
      <c r="P154" s="1">
        <v>1397.6279999999999</v>
      </c>
      <c r="Q154" s="1">
        <v>636.18499999999995</v>
      </c>
      <c r="R154" s="2">
        <f t="shared" si="21"/>
        <v>-738.53800000000001</v>
      </c>
      <c r="S154">
        <f t="shared" si="28"/>
        <v>-6.4414999999999054</v>
      </c>
      <c r="T154" s="1">
        <v>1212.1869999999999</v>
      </c>
      <c r="U154" s="1">
        <v>702.15499999999997</v>
      </c>
      <c r="V154" s="1">
        <v>988.41899999999998</v>
      </c>
      <c r="W154" s="1">
        <v>805.71900000000005</v>
      </c>
      <c r="X154" s="2">
        <f t="shared" si="23"/>
        <v>-851.66624999999999</v>
      </c>
      <c r="Y154" s="6"/>
      <c r="Z154" s="7"/>
      <c r="AB154" s="6"/>
      <c r="AC154" s="8"/>
      <c r="AD154" s="2">
        <f t="shared" si="29"/>
        <v>-14.158999999999651</v>
      </c>
      <c r="AE154" s="2"/>
      <c r="AF154" s="2"/>
      <c r="AG154" s="2"/>
      <c r="AH154" s="2"/>
      <c r="AI154" s="2"/>
      <c r="AJ154" s="6"/>
      <c r="AK154" s="6"/>
      <c r="AL154" s="6"/>
      <c r="AM154" s="6"/>
      <c r="AN154" s="9"/>
      <c r="AO154" s="6"/>
      <c r="AP154" s="6"/>
      <c r="AQ154" s="8"/>
      <c r="AR154" s="6"/>
      <c r="AS154" s="6"/>
      <c r="AT154" s="9"/>
      <c r="AU154" s="12"/>
      <c r="AV154" s="7"/>
      <c r="AW154" s="7"/>
      <c r="AX154" s="7"/>
      <c r="AY154" s="7"/>
      <c r="BB154" s="6"/>
      <c r="BC154" s="6"/>
      <c r="BD154" s="6"/>
      <c r="BE154" s="6"/>
      <c r="BF154" s="6"/>
      <c r="BG154" s="6"/>
      <c r="BH154" s="6"/>
      <c r="BI154" s="6"/>
      <c r="BJ154" s="6"/>
      <c r="BK154" s="6"/>
      <c r="BL154" s="6"/>
      <c r="BM154" s="6"/>
      <c r="BN154" s="6"/>
      <c r="BO154" s="6"/>
      <c r="BP154" s="6"/>
      <c r="BQ154" s="8"/>
      <c r="BR154" s="6"/>
      <c r="BS154" s="6"/>
      <c r="BT154" s="8"/>
      <c r="BU154" s="6"/>
      <c r="BV154" s="6"/>
      <c r="BW154" s="6"/>
      <c r="BX154" s="8"/>
      <c r="BY154" s="6"/>
      <c r="BZ154" s="7"/>
      <c r="CA154" s="7"/>
      <c r="CB154" s="7"/>
      <c r="CC154" s="7"/>
      <c r="CD154" s="7"/>
      <c r="CE154" s="7"/>
    </row>
    <row r="155" spans="1:83" ht="14" x14ac:dyDescent="0.3">
      <c r="A155" s="2">
        <f t="shared" si="4"/>
        <v>76.5</v>
      </c>
      <c r="B155" s="2">
        <v>756.07500000000005</v>
      </c>
      <c r="C155" s="2">
        <v>661.12300000000005</v>
      </c>
      <c r="D155" s="2">
        <v>561.02200000000005</v>
      </c>
      <c r="E155" s="2">
        <v>737.298</v>
      </c>
      <c r="F155" s="2">
        <f t="shared" si="17"/>
        <v>-1321.1205</v>
      </c>
      <c r="G155">
        <f t="shared" si="25"/>
        <v>-3.3835000000003674</v>
      </c>
      <c r="H155" s="1">
        <v>841.82899999999995</v>
      </c>
      <c r="I155" s="1">
        <v>748.24300000000005</v>
      </c>
      <c r="J155" s="1">
        <v>1127.0329999999999</v>
      </c>
      <c r="K155" s="1">
        <v>724.33399999999995</v>
      </c>
      <c r="L155" s="2">
        <f t="shared" si="26"/>
        <v>-1139.6402499999999</v>
      </c>
      <c r="M155">
        <f t="shared" si="27"/>
        <v>-4.06899999999996</v>
      </c>
      <c r="N155" s="1">
        <v>2068.587</v>
      </c>
      <c r="O155" s="1">
        <v>938.46600000000001</v>
      </c>
      <c r="P155" s="1">
        <v>1394.424</v>
      </c>
      <c r="Q155" s="1">
        <v>634.46600000000001</v>
      </c>
      <c r="R155" s="2">
        <f t="shared" si="21"/>
        <v>-741.01424999999995</v>
      </c>
      <c r="S155">
        <f t="shared" si="28"/>
        <v>-13.205000000000382</v>
      </c>
      <c r="T155" s="1">
        <v>1204.99</v>
      </c>
      <c r="U155" s="1">
        <v>700.87599999999998</v>
      </c>
      <c r="V155" s="1">
        <v>986.51499999999999</v>
      </c>
      <c r="W155" s="1">
        <v>804.3</v>
      </c>
      <c r="X155" s="2">
        <f t="shared" si="23"/>
        <v>-855.05700000000002</v>
      </c>
      <c r="Y155" s="6"/>
      <c r="Z155" s="7"/>
      <c r="AB155" s="6"/>
      <c r="AC155" s="8"/>
      <c r="AD155" s="2">
        <f t="shared" si="29"/>
        <v>-4.8535000000001673</v>
      </c>
      <c r="AE155" s="2"/>
      <c r="AF155" s="2"/>
      <c r="AG155" s="2"/>
      <c r="AH155" s="2"/>
      <c r="AI155" s="2"/>
      <c r="AJ155" s="6"/>
      <c r="AK155" s="6"/>
      <c r="AL155" s="6"/>
      <c r="AM155" s="6"/>
      <c r="AN155" s="6"/>
      <c r="AO155" s="6"/>
      <c r="AP155" s="9"/>
      <c r="AQ155" s="8"/>
      <c r="AR155" s="6"/>
      <c r="AS155" s="6"/>
      <c r="AT155" s="6"/>
      <c r="AU155" s="12"/>
      <c r="AV155" s="7"/>
      <c r="AW155" s="7"/>
      <c r="AX155" s="7"/>
      <c r="AY155" s="7"/>
      <c r="BB155" s="6"/>
      <c r="BC155" s="6"/>
      <c r="BD155" s="6"/>
      <c r="BE155" s="6"/>
      <c r="BF155" s="6"/>
      <c r="BG155" s="6"/>
      <c r="BH155" s="6"/>
      <c r="BI155" s="6"/>
      <c r="BJ155" s="6"/>
      <c r="BK155" s="6"/>
      <c r="BL155" s="6"/>
      <c r="BM155" s="6"/>
      <c r="BN155" s="6"/>
      <c r="BO155" s="6"/>
      <c r="BP155" s="6"/>
      <c r="BQ155" s="8"/>
      <c r="BR155" s="6"/>
      <c r="BS155" s="6"/>
      <c r="BT155" s="8"/>
      <c r="BU155" s="6"/>
      <c r="BV155" s="6"/>
      <c r="BW155" s="6"/>
      <c r="BX155" s="8"/>
      <c r="BY155" s="6"/>
      <c r="BZ155" s="7"/>
      <c r="CA155" s="7"/>
      <c r="CB155" s="7"/>
      <c r="CC155" s="7"/>
      <c r="CD155" s="7"/>
      <c r="CE155" s="7"/>
    </row>
    <row r="156" spans="1:83" ht="14" x14ac:dyDescent="0.3">
      <c r="A156" s="2">
        <f t="shared" si="4"/>
        <v>77</v>
      </c>
      <c r="B156" s="2">
        <v>754.02300000000002</v>
      </c>
      <c r="C156" s="2">
        <v>658.71500000000003</v>
      </c>
      <c r="D156" s="2">
        <v>559.14700000000005</v>
      </c>
      <c r="E156" s="2">
        <v>734.06700000000001</v>
      </c>
      <c r="F156" s="2">
        <f t="shared" si="17"/>
        <v>-1323.5119999999999</v>
      </c>
      <c r="G156">
        <f t="shared" si="25"/>
        <v>-3.475999999999658</v>
      </c>
      <c r="H156" s="1">
        <v>840.39</v>
      </c>
      <c r="I156" s="1">
        <v>746.90700000000004</v>
      </c>
      <c r="J156" s="1">
        <v>1123.9659999999999</v>
      </c>
      <c r="K156" s="1">
        <v>733.04499999999996</v>
      </c>
      <c r="L156" s="2">
        <f t="shared" si="26"/>
        <v>-1138.923</v>
      </c>
      <c r="M156">
        <f t="shared" si="27"/>
        <v>-9.7359999999998763</v>
      </c>
      <c r="N156" s="1">
        <v>2062.0050000000001</v>
      </c>
      <c r="O156" s="1">
        <v>937.75699999999995</v>
      </c>
      <c r="P156" s="1">
        <v>1390.114</v>
      </c>
      <c r="Q156" s="1">
        <v>633.18399999999997</v>
      </c>
      <c r="R156" s="2">
        <f t="shared" si="21"/>
        <v>-744.2349999999999</v>
      </c>
      <c r="S156">
        <f t="shared" si="28"/>
        <v>3.2849999999998545</v>
      </c>
      <c r="T156" s="1">
        <v>1184.3420000000001</v>
      </c>
      <c r="U156" s="1">
        <v>699.01900000000001</v>
      </c>
      <c r="V156" s="1">
        <v>984.53700000000003</v>
      </c>
      <c r="W156" s="1">
        <v>800.80700000000002</v>
      </c>
      <c r="X156" s="2">
        <f t="shared" si="23"/>
        <v>-862.13649999999984</v>
      </c>
      <c r="Y156" s="6"/>
      <c r="Z156" s="7"/>
      <c r="AB156" s="6"/>
      <c r="AC156" s="8"/>
      <c r="AD156" s="2">
        <f t="shared" si="29"/>
        <v>4.6484999999997854</v>
      </c>
      <c r="AE156" s="3"/>
      <c r="AF156" s="2"/>
      <c r="AG156" s="2"/>
      <c r="AH156" s="2"/>
      <c r="AI156" s="2"/>
      <c r="AJ156" s="6"/>
      <c r="AK156" s="6"/>
      <c r="AL156" s="6"/>
      <c r="AM156" s="6"/>
      <c r="AN156" s="6"/>
      <c r="AO156" s="6"/>
      <c r="AP156" s="6"/>
      <c r="AQ156" s="8"/>
      <c r="AR156" s="6"/>
      <c r="AS156" s="6"/>
      <c r="AT156" s="6"/>
      <c r="AU156" s="6"/>
      <c r="AV156" s="7"/>
      <c r="AW156" s="7"/>
      <c r="AX156" s="7"/>
      <c r="AY156" s="7"/>
      <c r="BB156" s="6"/>
      <c r="BC156" s="6"/>
      <c r="BD156" s="6"/>
      <c r="BE156" s="6"/>
      <c r="BF156" s="6"/>
      <c r="BG156" s="6"/>
      <c r="BH156" s="6"/>
      <c r="BI156" s="6"/>
      <c r="BJ156" s="6"/>
      <c r="BK156" s="6"/>
      <c r="BL156" s="6"/>
      <c r="BM156" s="6"/>
      <c r="BN156" s="6"/>
      <c r="BO156" s="6"/>
      <c r="BP156" s="6"/>
      <c r="BQ156" s="8"/>
      <c r="BR156" s="6"/>
      <c r="BS156" s="6"/>
      <c r="BT156" s="8"/>
      <c r="BU156" s="6"/>
      <c r="BV156" s="6"/>
      <c r="BW156" s="6"/>
      <c r="BX156" s="8"/>
      <c r="BY156" s="6"/>
      <c r="BZ156" s="7"/>
      <c r="CA156" s="7"/>
      <c r="CB156" s="7"/>
      <c r="CC156" s="7"/>
      <c r="CD156" s="7"/>
      <c r="CE156" s="7"/>
    </row>
    <row r="157" spans="1:83" ht="14" x14ac:dyDescent="0.3">
      <c r="A157" s="2">
        <f t="shared" si="4"/>
        <v>77.5</v>
      </c>
      <c r="B157" s="2">
        <v>752.745</v>
      </c>
      <c r="C157" s="2">
        <v>656.75300000000004</v>
      </c>
      <c r="D157" s="2">
        <v>557.48299999999995</v>
      </c>
      <c r="E157" s="2">
        <v>732.20399999999995</v>
      </c>
      <c r="F157" s="2">
        <f t="shared" si="17"/>
        <v>-1325.2037500000001</v>
      </c>
      <c r="G157">
        <f t="shared" si="25"/>
        <v>-4.6525000000001455</v>
      </c>
      <c r="H157" s="1">
        <v>838.476</v>
      </c>
      <c r="I157" s="1">
        <v>745.13499999999999</v>
      </c>
      <c r="J157" s="1">
        <v>1121.529</v>
      </c>
      <c r="K157" s="1">
        <v>731.03</v>
      </c>
      <c r="L157" s="2">
        <f t="shared" si="26"/>
        <v>-1140.9575</v>
      </c>
      <c r="M157">
        <f t="shared" si="27"/>
        <v>3.7925000000000182</v>
      </c>
      <c r="N157" s="1">
        <v>2059.3919999999998</v>
      </c>
      <c r="O157" s="1">
        <v>935.98299999999995</v>
      </c>
      <c r="P157" s="1">
        <v>1368.258</v>
      </c>
      <c r="Q157" s="1">
        <v>633.01700000000005</v>
      </c>
      <c r="R157" s="2">
        <f t="shared" si="21"/>
        <v>-750.83750000000009</v>
      </c>
      <c r="S157">
        <f t="shared" si="28"/>
        <v>-8.7899999999999636</v>
      </c>
      <c r="T157" s="1">
        <v>1181.8969999999999</v>
      </c>
      <c r="U157" s="1">
        <v>697.42499999999995</v>
      </c>
      <c r="V157" s="1">
        <v>982.5</v>
      </c>
      <c r="W157" s="1">
        <v>798.98199999999997</v>
      </c>
      <c r="X157" s="2">
        <f t="shared" si="23"/>
        <v>-864.56324999999993</v>
      </c>
      <c r="Y157" s="6"/>
      <c r="Z157" s="7"/>
      <c r="AB157" s="6"/>
      <c r="AC157" s="8"/>
      <c r="AD157" s="2">
        <f t="shared" si="29"/>
        <v>-15.496000000000095</v>
      </c>
      <c r="AE157" s="2"/>
      <c r="AF157" s="2"/>
      <c r="AG157" s="2"/>
      <c r="AH157" s="2"/>
      <c r="AI157" s="2"/>
      <c r="AJ157" s="6"/>
      <c r="AK157" s="6"/>
      <c r="AL157" s="6"/>
      <c r="AM157" s="6"/>
      <c r="AN157" s="6"/>
      <c r="AO157" s="6"/>
      <c r="AP157" s="6"/>
      <c r="AQ157" s="8"/>
      <c r="AR157" s="6"/>
      <c r="AS157" s="6"/>
      <c r="AT157" s="6"/>
      <c r="AU157" s="6"/>
      <c r="AV157" s="7"/>
      <c r="AW157" s="7"/>
      <c r="AX157" s="7"/>
      <c r="AY157" s="7"/>
      <c r="BB157" s="6"/>
      <c r="BC157" s="6"/>
      <c r="BD157" s="6"/>
      <c r="BE157" s="6"/>
      <c r="BF157" s="6"/>
      <c r="BG157" s="6"/>
      <c r="BH157" s="6"/>
      <c r="BI157" s="6"/>
      <c r="BJ157" s="6"/>
      <c r="BK157" s="6"/>
      <c r="BL157" s="6"/>
      <c r="BM157" s="6"/>
      <c r="BN157" s="6"/>
      <c r="BO157" s="6"/>
      <c r="BP157" s="6"/>
      <c r="BQ157" s="8"/>
      <c r="BR157" s="6"/>
      <c r="BS157" s="9"/>
      <c r="BT157" s="8"/>
      <c r="BU157" s="6"/>
      <c r="BV157" s="6"/>
      <c r="BW157" s="6"/>
      <c r="BX157" s="8"/>
      <c r="BY157" s="6"/>
      <c r="BZ157" s="7"/>
      <c r="CA157" s="7"/>
      <c r="CB157" s="7"/>
      <c r="CC157" s="11"/>
      <c r="CD157" s="7"/>
      <c r="CE157" s="7"/>
    </row>
    <row r="158" spans="1:83" ht="14" x14ac:dyDescent="0.3">
      <c r="A158" s="2">
        <f t="shared" si="4"/>
        <v>78</v>
      </c>
      <c r="B158" s="2">
        <v>750.74300000000005</v>
      </c>
      <c r="C158" s="2">
        <v>655.04</v>
      </c>
      <c r="D158" s="3">
        <v>557.51199999999994</v>
      </c>
      <c r="E158" s="2">
        <v>728.93799999999999</v>
      </c>
      <c r="F158" s="2">
        <f t="shared" si="17"/>
        <v>-1326.94175</v>
      </c>
      <c r="G158">
        <f t="shared" si="25"/>
        <v>-4.6509999999998399</v>
      </c>
      <c r="H158" s="1">
        <v>835.39300000000003</v>
      </c>
      <c r="I158" s="10">
        <v>743.24599999999998</v>
      </c>
      <c r="J158" s="1">
        <v>1118.248</v>
      </c>
      <c r="K158" s="1">
        <v>719.81100000000004</v>
      </c>
      <c r="L158" s="2">
        <f t="shared" si="26"/>
        <v>-1145.8254999999999</v>
      </c>
      <c r="M158">
        <f t="shared" si="27"/>
        <v>-8.1005000000000109</v>
      </c>
      <c r="N158" s="1">
        <v>2053.8339999999998</v>
      </c>
      <c r="O158" s="1">
        <v>936.83500000000004</v>
      </c>
      <c r="P158" s="1">
        <v>1380.6780000000001</v>
      </c>
      <c r="Q158" s="1">
        <v>631.87300000000005</v>
      </c>
      <c r="R158" s="2">
        <f t="shared" si="21"/>
        <v>-749.19500000000016</v>
      </c>
      <c r="S158">
        <f t="shared" si="28"/>
        <v>-6.3539999999998145</v>
      </c>
      <c r="T158" s="1">
        <v>1196.174</v>
      </c>
      <c r="U158" s="1">
        <v>696.30899999999997</v>
      </c>
      <c r="V158" s="1">
        <v>981.12599999999998</v>
      </c>
      <c r="W158" s="1">
        <v>797.22199999999998</v>
      </c>
      <c r="X158" s="2">
        <f t="shared" si="23"/>
        <v>-862.23900000000003</v>
      </c>
      <c r="Y158" s="6"/>
      <c r="Z158" s="7"/>
      <c r="AB158" s="6"/>
      <c r="AC158" s="8"/>
      <c r="AD158" s="2">
        <f t="shared" si="29"/>
        <v>-2.6750000000001819</v>
      </c>
      <c r="AE158" s="2"/>
      <c r="AF158" s="2"/>
      <c r="AG158" s="2"/>
      <c r="AH158" s="2"/>
      <c r="AI158" s="2"/>
      <c r="AJ158" s="6"/>
      <c r="AK158" s="6"/>
      <c r="AL158" s="6"/>
      <c r="AM158" s="6"/>
      <c r="AN158" s="6"/>
      <c r="AO158" s="6"/>
      <c r="AP158" s="6"/>
      <c r="AQ158" s="8"/>
      <c r="AR158" s="6"/>
      <c r="AS158" s="6"/>
      <c r="AT158" s="6"/>
      <c r="AU158" s="6"/>
      <c r="AV158" s="7"/>
      <c r="AW158" s="7"/>
      <c r="AX158" s="7"/>
      <c r="AY158" s="7"/>
      <c r="BB158" s="6"/>
      <c r="BC158" s="6"/>
      <c r="BD158" s="6"/>
      <c r="BE158" s="9"/>
      <c r="BF158" s="6"/>
      <c r="BG158" s="6"/>
      <c r="BH158" s="6"/>
      <c r="BI158" s="6"/>
      <c r="BJ158" s="6"/>
      <c r="BK158" s="6"/>
      <c r="BL158" s="6"/>
      <c r="BM158" s="6"/>
      <c r="BN158" s="6"/>
      <c r="BO158" s="6"/>
      <c r="BP158" s="6"/>
      <c r="BQ158" s="8"/>
      <c r="BR158" s="9"/>
      <c r="BS158" s="6"/>
      <c r="BT158" s="8"/>
      <c r="BU158" s="6"/>
      <c r="BV158" s="6"/>
      <c r="BW158" s="6"/>
      <c r="BX158" s="8"/>
      <c r="BY158" s="6"/>
      <c r="BZ158" s="7"/>
      <c r="CA158" s="7"/>
      <c r="CB158" s="7"/>
      <c r="CC158" s="7"/>
      <c r="CD158" s="7"/>
      <c r="CE158" s="7"/>
    </row>
    <row r="159" spans="1:83" ht="14" x14ac:dyDescent="0.3">
      <c r="A159" s="2">
        <f t="shared" si="4"/>
        <v>78.5</v>
      </c>
      <c r="B159" s="2">
        <v>747.54200000000003</v>
      </c>
      <c r="C159" s="2">
        <v>654.173</v>
      </c>
      <c r="D159" s="2">
        <v>556.40899999999999</v>
      </c>
      <c r="E159" s="2">
        <v>724.80399999999997</v>
      </c>
      <c r="F159" s="2">
        <f t="shared" si="17"/>
        <v>-1329.268</v>
      </c>
      <c r="G159">
        <f t="shared" si="25"/>
        <v>-2.2100000000000364</v>
      </c>
      <c r="H159" s="1">
        <v>836.53700000000003</v>
      </c>
      <c r="I159" s="1">
        <v>742.79100000000005</v>
      </c>
      <c r="J159" s="1">
        <v>1116.3920000000001</v>
      </c>
      <c r="K159" s="1">
        <v>728.56299999999999</v>
      </c>
      <c r="L159" s="2">
        <f t="shared" si="26"/>
        <v>-1143.9292499999999</v>
      </c>
      <c r="M159">
        <f t="shared" si="27"/>
        <v>-1.0195000000003347</v>
      </c>
      <c r="N159" s="1">
        <v>2046.03</v>
      </c>
      <c r="O159" s="1">
        <v>932.65099999999995</v>
      </c>
      <c r="P159" s="1">
        <v>1376.8620000000001</v>
      </c>
      <c r="Q159" s="1">
        <v>630.09699999999998</v>
      </c>
      <c r="R159" s="2">
        <f t="shared" si="21"/>
        <v>-753.59000000000015</v>
      </c>
      <c r="S159">
        <f t="shared" si="28"/>
        <v>-2.0164999999997235</v>
      </c>
      <c r="T159" s="1">
        <v>1173.29</v>
      </c>
      <c r="U159" s="1">
        <v>695.32600000000002</v>
      </c>
      <c r="V159" s="1">
        <v>978.05499999999995</v>
      </c>
      <c r="W159" s="1">
        <v>793.48400000000004</v>
      </c>
      <c r="X159" s="2">
        <f t="shared" si="23"/>
        <v>-869.98700000000008</v>
      </c>
      <c r="Y159" s="6"/>
      <c r="Z159" s="7"/>
      <c r="AB159" s="6"/>
      <c r="AC159" s="8"/>
      <c r="AD159" s="2">
        <f t="shared" si="29"/>
        <v>3.4000000000000909</v>
      </c>
      <c r="AE159" s="2"/>
      <c r="AF159" s="2"/>
      <c r="AG159" s="2"/>
      <c r="AH159" s="2"/>
      <c r="AI159" s="2"/>
      <c r="AJ159" s="6"/>
      <c r="AK159" s="6"/>
      <c r="AL159" s="6"/>
      <c r="AM159" s="6"/>
      <c r="AN159" s="6"/>
      <c r="AO159" s="6"/>
      <c r="AP159" s="6"/>
      <c r="AQ159" s="8"/>
      <c r="AR159" s="6"/>
      <c r="AS159" s="6"/>
      <c r="AT159" s="6"/>
      <c r="AU159" s="8"/>
      <c r="AV159" s="7"/>
      <c r="AW159" s="7"/>
      <c r="AX159" s="7"/>
      <c r="AY159" s="7"/>
      <c r="BB159" s="6"/>
      <c r="BC159" s="6"/>
      <c r="BD159" s="6"/>
      <c r="BE159" s="6"/>
      <c r="BF159" s="6"/>
      <c r="BG159" s="6"/>
      <c r="BH159" s="6"/>
      <c r="BI159" s="6"/>
      <c r="BJ159" s="6"/>
      <c r="BK159" s="6"/>
      <c r="BL159" s="6"/>
      <c r="BM159" s="6"/>
      <c r="BN159" s="6"/>
      <c r="BO159" s="6"/>
      <c r="BP159" s="6"/>
      <c r="BQ159" s="6"/>
      <c r="BR159" s="6"/>
      <c r="BS159" s="6"/>
      <c r="BT159" s="8"/>
      <c r="BU159" s="6"/>
      <c r="BV159" s="6"/>
      <c r="BW159" s="6"/>
      <c r="BX159" s="8"/>
      <c r="BY159" s="6"/>
      <c r="BZ159" s="7"/>
      <c r="CA159" s="7"/>
      <c r="CB159" s="7"/>
      <c r="CC159" s="7"/>
      <c r="CD159" s="7"/>
      <c r="CE159" s="7"/>
    </row>
    <row r="160" spans="1:83" ht="14" x14ac:dyDescent="0.3">
      <c r="A160" s="2">
        <f t="shared" si="4"/>
        <v>79</v>
      </c>
      <c r="B160" s="2">
        <v>745.404</v>
      </c>
      <c r="C160" s="2">
        <v>651.21699999999998</v>
      </c>
      <c r="D160" s="2">
        <v>554.83399999999995</v>
      </c>
      <c r="E160" s="2">
        <v>722.17100000000005</v>
      </c>
      <c r="F160" s="2">
        <f t="shared" si="17"/>
        <v>-1331.5934999999999</v>
      </c>
      <c r="G160">
        <f t="shared" si="25"/>
        <v>13.092499999999745</v>
      </c>
      <c r="H160" s="1">
        <v>839.63199999999995</v>
      </c>
      <c r="I160" s="1">
        <v>739.64</v>
      </c>
      <c r="J160" s="1">
        <v>1112.1990000000001</v>
      </c>
      <c r="K160" s="1">
        <v>716.61099999999999</v>
      </c>
      <c r="L160" s="2">
        <f t="shared" si="26"/>
        <v>-1147.9794999999999</v>
      </c>
      <c r="M160">
        <f t="shared" si="27"/>
        <v>-4.0914999999999964</v>
      </c>
      <c r="N160" s="1">
        <v>2039.6210000000001</v>
      </c>
      <c r="O160" s="1">
        <v>931.08</v>
      </c>
      <c r="P160" s="1">
        <v>1373.0889999999999</v>
      </c>
      <c r="Q160" s="1">
        <v>629.14200000000005</v>
      </c>
      <c r="R160" s="2">
        <f t="shared" si="21"/>
        <v>-756.76700000000005</v>
      </c>
      <c r="S160">
        <f t="shared" si="28"/>
        <v>-4.1535000000003492</v>
      </c>
      <c r="T160" s="1">
        <v>1172.9939999999999</v>
      </c>
      <c r="U160" s="1">
        <v>694.16899999999998</v>
      </c>
      <c r="V160" s="1">
        <v>976.68499999999995</v>
      </c>
      <c r="W160" s="1">
        <v>793.11599999999999</v>
      </c>
      <c r="X160" s="2">
        <f t="shared" si="23"/>
        <v>-871.32450000000017</v>
      </c>
      <c r="Y160" s="6"/>
      <c r="Z160" s="7"/>
      <c r="AB160" s="6"/>
      <c r="AC160" s="8"/>
      <c r="AD160" s="2">
        <f t="shared" si="29"/>
        <v>-5.1704999999997199</v>
      </c>
      <c r="AE160" s="2"/>
      <c r="AF160" s="2"/>
      <c r="AG160" s="2"/>
      <c r="AH160" s="3"/>
      <c r="AI160" s="2"/>
      <c r="AJ160" s="6"/>
      <c r="AK160" s="6"/>
      <c r="AL160" s="6"/>
      <c r="AM160" s="6"/>
      <c r="AN160" s="6"/>
      <c r="AO160" s="6"/>
      <c r="AP160" s="6"/>
      <c r="AQ160" s="8"/>
      <c r="AR160" s="6"/>
      <c r="AS160" s="6"/>
      <c r="AT160" s="9"/>
      <c r="AU160" s="8"/>
      <c r="AV160" s="7"/>
      <c r="AW160" s="7"/>
      <c r="AX160" s="7"/>
      <c r="AY160" s="7"/>
      <c r="BB160" s="6"/>
      <c r="BC160" s="6"/>
      <c r="BD160" s="6"/>
      <c r="BE160" s="6"/>
      <c r="BF160" s="6"/>
      <c r="BG160" s="6"/>
      <c r="BH160" s="6"/>
      <c r="BI160" s="6"/>
      <c r="BJ160" s="6"/>
      <c r="BK160" s="6"/>
      <c r="BL160" s="8"/>
      <c r="BM160" s="6"/>
      <c r="BN160" s="6"/>
      <c r="BO160" s="6"/>
      <c r="BP160" s="6"/>
      <c r="BQ160" s="6"/>
      <c r="BR160" s="6"/>
      <c r="BS160" s="6"/>
      <c r="BT160" s="8"/>
      <c r="BU160" s="6"/>
      <c r="BV160" s="6"/>
      <c r="BW160" s="6"/>
      <c r="BX160" s="8"/>
      <c r="BY160" s="6"/>
      <c r="BZ160" s="7"/>
      <c r="CA160" s="7"/>
      <c r="CB160" s="7"/>
      <c r="CC160" s="7"/>
      <c r="CD160" s="7"/>
      <c r="CE160" s="7"/>
    </row>
    <row r="161" spans="1:83" ht="14" x14ac:dyDescent="0.3">
      <c r="A161" s="2">
        <f t="shared" si="4"/>
        <v>79.5</v>
      </c>
      <c r="B161" s="2">
        <v>743.82799999999997</v>
      </c>
      <c r="C161" s="2">
        <v>650.64300000000003</v>
      </c>
      <c r="D161" s="2">
        <v>553.91099999999994</v>
      </c>
      <c r="E161" s="2">
        <v>720.82399999999996</v>
      </c>
      <c r="F161" s="2">
        <f t="shared" si="17"/>
        <v>-1332.6985</v>
      </c>
      <c r="G161">
        <f t="shared" si="25"/>
        <v>-20.337999999999738</v>
      </c>
      <c r="H161" s="1">
        <v>837.47500000000002</v>
      </c>
      <c r="I161" s="1">
        <v>735.74699999999996</v>
      </c>
      <c r="J161" s="1">
        <v>1108.731</v>
      </c>
      <c r="K161" s="1">
        <v>724.09</v>
      </c>
      <c r="L161" s="2">
        <f t="shared" si="26"/>
        <v>-1148.4892500000001</v>
      </c>
      <c r="M161">
        <f t="shared" si="27"/>
        <v>0.28699999999980719</v>
      </c>
      <c r="N161" s="1">
        <v>2037.5070000000001</v>
      </c>
      <c r="O161" s="1">
        <v>932.16700000000003</v>
      </c>
      <c r="P161" s="1">
        <v>1372.0229999999999</v>
      </c>
      <c r="Q161" s="1">
        <v>627.202</v>
      </c>
      <c r="R161" s="2">
        <f t="shared" si="21"/>
        <v>-757.77524999999991</v>
      </c>
      <c r="S161">
        <f t="shared" si="28"/>
        <v>-8.1289999999999054</v>
      </c>
      <c r="T161" s="1">
        <v>1189.1400000000001</v>
      </c>
      <c r="U161" s="1">
        <v>691.93899999999996</v>
      </c>
      <c r="V161" s="1">
        <v>974.24199999999996</v>
      </c>
      <c r="W161" s="1">
        <v>790.03</v>
      </c>
      <c r="X161" s="2">
        <f t="shared" si="23"/>
        <v>-869.62450000000013</v>
      </c>
      <c r="Y161" s="6"/>
      <c r="Z161" s="7"/>
      <c r="AB161" s="6"/>
      <c r="AC161" s="8"/>
      <c r="AD161" s="2">
        <f t="shared" si="29"/>
        <v>-13.445499999999811</v>
      </c>
      <c r="AE161" s="2"/>
      <c r="AF161" s="2"/>
      <c r="AG161" s="2"/>
      <c r="AH161" s="2"/>
      <c r="AI161" s="2"/>
      <c r="AJ161" s="6"/>
      <c r="AK161" s="6"/>
      <c r="AL161" s="6"/>
      <c r="AM161" s="6"/>
      <c r="AN161" s="6"/>
      <c r="AO161" s="6"/>
      <c r="AP161" s="6"/>
      <c r="AQ161" s="8"/>
      <c r="AR161" s="6"/>
      <c r="AS161" s="6"/>
      <c r="AT161" s="6"/>
      <c r="AU161" s="6"/>
      <c r="AV161" s="7"/>
      <c r="AW161" s="7"/>
      <c r="AX161" s="7"/>
      <c r="AY161" s="7"/>
      <c r="BB161" s="6"/>
      <c r="BC161" s="6"/>
      <c r="BD161" s="6"/>
      <c r="BE161" s="6"/>
      <c r="BF161" s="6"/>
      <c r="BG161" s="6"/>
      <c r="BH161" s="6"/>
      <c r="BI161" s="6"/>
      <c r="BJ161" s="6"/>
      <c r="BK161" s="6"/>
      <c r="BL161" s="8"/>
      <c r="BM161" s="6"/>
      <c r="BN161" s="6"/>
      <c r="BO161" s="6"/>
      <c r="BP161" s="6"/>
      <c r="BQ161" s="6"/>
      <c r="BR161" s="6"/>
      <c r="BS161" s="9"/>
      <c r="BT161" s="8"/>
      <c r="BU161" s="6"/>
      <c r="BV161" s="6"/>
      <c r="BW161" s="6"/>
      <c r="BX161" s="8"/>
      <c r="BY161" s="6"/>
      <c r="BZ161" s="7"/>
      <c r="CA161" s="7"/>
      <c r="CB161" s="7"/>
      <c r="CC161" s="7"/>
      <c r="CD161" s="7"/>
      <c r="CE161" s="7"/>
    </row>
    <row r="162" spans="1:83" ht="14" x14ac:dyDescent="0.3">
      <c r="A162" s="2">
        <f t="shared" si="4"/>
        <v>80</v>
      </c>
      <c r="B162" s="2">
        <v>741.59299999999996</v>
      </c>
      <c r="C162" s="2">
        <v>684.99300000000005</v>
      </c>
      <c r="D162" s="2">
        <v>553.07100000000003</v>
      </c>
      <c r="E162" s="2">
        <v>715.73400000000004</v>
      </c>
      <c r="F162" s="2">
        <f t="shared" si="17"/>
        <v>-1326.1522500000001</v>
      </c>
      <c r="G162">
        <f t="shared" si="25"/>
        <v>-4.5285000000003492</v>
      </c>
      <c r="H162" s="1">
        <v>836.83100000000002</v>
      </c>
      <c r="I162" s="1">
        <v>737.76499999999999</v>
      </c>
      <c r="J162" s="1">
        <v>1108.7919999999999</v>
      </c>
      <c r="K162" s="1">
        <v>714.47199999999998</v>
      </c>
      <c r="L162" s="2">
        <f t="shared" si="26"/>
        <v>-1150.5350000000001</v>
      </c>
      <c r="M162">
        <f t="shared" si="27"/>
        <v>-11.369999999999891</v>
      </c>
      <c r="N162" s="1">
        <v>2028.8030000000001</v>
      </c>
      <c r="O162" s="1">
        <v>933.85199999999998</v>
      </c>
      <c r="P162" s="1">
        <v>1370.8530000000001</v>
      </c>
      <c r="Q162" s="1">
        <v>627.08399999999995</v>
      </c>
      <c r="R162" s="2">
        <f t="shared" si="21"/>
        <v>-759.85200000000009</v>
      </c>
      <c r="S162">
        <f t="shared" si="28"/>
        <v>-4.1039999999998145</v>
      </c>
      <c r="T162" s="1">
        <v>1185.623</v>
      </c>
      <c r="U162" s="1">
        <v>691.21500000000003</v>
      </c>
      <c r="V162" s="1">
        <v>971.55399999999997</v>
      </c>
      <c r="W162" s="1">
        <v>788.21600000000001</v>
      </c>
      <c r="X162" s="2">
        <f t="shared" si="23"/>
        <v>-872.20974999999999</v>
      </c>
      <c r="Y162" s="6"/>
      <c r="Z162" s="7"/>
      <c r="AB162" s="6"/>
      <c r="AC162" s="8"/>
      <c r="AD162" s="2">
        <f t="shared" si="29"/>
        <v>12.629999999999654</v>
      </c>
      <c r="AE162" s="2"/>
      <c r="AF162" s="2"/>
      <c r="AG162" s="2"/>
      <c r="AH162" s="2"/>
      <c r="AI162" s="2"/>
      <c r="AJ162" s="6"/>
      <c r="AK162" s="6"/>
      <c r="AL162" s="6"/>
      <c r="AM162" s="6"/>
      <c r="AN162" s="6"/>
      <c r="AO162" s="6"/>
      <c r="AP162" s="6"/>
      <c r="AQ162" s="8"/>
      <c r="AR162" s="6"/>
      <c r="AS162" s="6"/>
      <c r="AT162" s="6"/>
      <c r="AU162" s="6"/>
      <c r="AV162" s="7"/>
      <c r="AW162" s="7"/>
      <c r="AX162" s="7"/>
      <c r="AY162" s="7"/>
      <c r="BB162" s="6"/>
      <c r="BC162" s="6"/>
      <c r="BD162" s="6"/>
      <c r="BE162" s="6"/>
      <c r="BF162" s="6"/>
      <c r="BG162" s="6"/>
      <c r="BH162" s="6"/>
      <c r="BI162" s="6"/>
      <c r="BJ162" s="6"/>
      <c r="BK162" s="6"/>
      <c r="BL162" s="8"/>
      <c r="BM162" s="6"/>
      <c r="BN162" s="6"/>
      <c r="BO162" s="6"/>
      <c r="BP162" s="6"/>
      <c r="BQ162" s="6"/>
      <c r="BR162" s="6"/>
      <c r="BS162" s="6"/>
      <c r="BT162" s="8"/>
      <c r="BU162" s="6"/>
      <c r="BV162" s="6"/>
      <c r="BW162" s="6"/>
      <c r="BX162" s="8"/>
      <c r="BY162" s="9"/>
      <c r="BZ162" s="7"/>
      <c r="CA162" s="7"/>
      <c r="CB162" s="7"/>
      <c r="CC162" s="7"/>
      <c r="CD162" s="7"/>
      <c r="CE162" s="7"/>
    </row>
    <row r="163" spans="1:83" ht="14" x14ac:dyDescent="0.3">
      <c r="A163" s="2">
        <f t="shared" si="4"/>
        <v>80.5</v>
      </c>
      <c r="B163" s="2">
        <v>739.75900000000001</v>
      </c>
      <c r="C163" s="2">
        <v>647.44000000000005</v>
      </c>
      <c r="D163" s="2">
        <v>552.91</v>
      </c>
      <c r="E163" s="2">
        <v>714.60599999999999</v>
      </c>
      <c r="F163" s="2">
        <f t="shared" si="17"/>
        <v>-1336.32125</v>
      </c>
      <c r="G163">
        <f t="shared" si="25"/>
        <v>-2.0874999999996362</v>
      </c>
      <c r="H163" s="1">
        <v>834.37199999999996</v>
      </c>
      <c r="I163" s="10">
        <v>735.98400000000004</v>
      </c>
      <c r="J163" s="1">
        <v>1105.473</v>
      </c>
      <c r="K163" s="1">
        <v>722.60500000000002</v>
      </c>
      <c r="L163" s="2">
        <f t="shared" si="26"/>
        <v>-1150.3915000000002</v>
      </c>
      <c r="M163">
        <f t="shared" si="27"/>
        <v>5.4675000000002001</v>
      </c>
      <c r="N163" s="1">
        <v>2027.0930000000001</v>
      </c>
      <c r="O163" s="1">
        <v>927.81700000000001</v>
      </c>
      <c r="P163" s="1">
        <v>1364.1890000000001</v>
      </c>
      <c r="Q163" s="1">
        <v>625.23500000000001</v>
      </c>
      <c r="R163" s="2">
        <f t="shared" si="21"/>
        <v>-763.91650000000004</v>
      </c>
      <c r="S163">
        <f t="shared" si="28"/>
        <v>-6.6385000000000218</v>
      </c>
      <c r="T163" s="1">
        <v>1167.8340000000001</v>
      </c>
      <c r="U163" s="1">
        <v>688.91399999999999</v>
      </c>
      <c r="V163" s="1">
        <v>969.30399999999997</v>
      </c>
      <c r="W163" s="1">
        <v>786.44200000000001</v>
      </c>
      <c r="X163" s="2">
        <f t="shared" si="23"/>
        <v>-878.93249999999989</v>
      </c>
      <c r="Y163" s="6"/>
      <c r="Z163" s="7"/>
      <c r="AB163" s="6"/>
      <c r="AC163" s="8"/>
      <c r="AD163" s="2">
        <f t="shared" si="29"/>
        <v>-25.192999999999756</v>
      </c>
      <c r="AE163" s="2"/>
      <c r="AF163" s="2"/>
      <c r="AG163" s="2"/>
      <c r="AH163" s="2"/>
      <c r="AI163" s="2"/>
      <c r="AJ163" s="6"/>
      <c r="AK163" s="6"/>
      <c r="AL163" s="6"/>
      <c r="AM163" s="6"/>
      <c r="AN163" s="6"/>
      <c r="AO163" s="6"/>
      <c r="AP163" s="6"/>
      <c r="AQ163" s="8"/>
      <c r="AR163" s="6"/>
      <c r="AS163" s="6"/>
      <c r="AT163" s="6"/>
      <c r="AU163" s="6"/>
      <c r="AV163" s="7"/>
      <c r="AW163" s="7"/>
      <c r="AX163" s="7"/>
      <c r="AY163" s="7"/>
      <c r="BB163" s="6"/>
      <c r="BC163" s="6"/>
      <c r="BD163" s="6"/>
      <c r="BE163" s="6"/>
      <c r="BF163" s="6"/>
      <c r="BG163" s="6"/>
      <c r="BH163" s="6"/>
      <c r="BI163" s="6"/>
      <c r="BJ163" s="6"/>
      <c r="BK163" s="6"/>
      <c r="BL163" s="8"/>
      <c r="BM163" s="6"/>
      <c r="BN163" s="6"/>
      <c r="BO163" s="6"/>
      <c r="BP163" s="6"/>
      <c r="BQ163" s="6"/>
      <c r="BR163" s="6"/>
      <c r="BS163" s="6"/>
      <c r="BT163" s="8"/>
      <c r="BU163" s="6"/>
      <c r="BV163" s="6"/>
      <c r="BW163" s="6"/>
      <c r="BX163" s="8"/>
      <c r="BY163" s="6"/>
      <c r="BZ163" s="7"/>
      <c r="CA163" s="7"/>
      <c r="CB163" s="7"/>
      <c r="CC163" s="7"/>
      <c r="CD163" s="7"/>
      <c r="CE163" s="7"/>
    </row>
    <row r="164" spans="1:83" ht="14" x14ac:dyDescent="0.3">
      <c r="A164" s="2">
        <f t="shared" si="4"/>
        <v>81</v>
      </c>
      <c r="B164" s="2">
        <v>737.85500000000002</v>
      </c>
      <c r="C164" s="2">
        <v>644.327</v>
      </c>
      <c r="D164" s="2">
        <v>551.16200000000003</v>
      </c>
      <c r="E164" s="2">
        <v>712.31399999999996</v>
      </c>
      <c r="F164" s="2">
        <f t="shared" si="17"/>
        <v>-1338.5855000000001</v>
      </c>
      <c r="G164">
        <f t="shared" si="25"/>
        <v>-1.7750000000000909</v>
      </c>
      <c r="H164" s="1">
        <v>828.91399999999999</v>
      </c>
      <c r="I164" s="1">
        <v>732.98699999999997</v>
      </c>
      <c r="J164" s="1">
        <v>1102.1489999999999</v>
      </c>
      <c r="K164" s="1">
        <v>711.64400000000001</v>
      </c>
      <c r="L164" s="2">
        <f t="shared" si="26"/>
        <v>-1156.0765000000001</v>
      </c>
      <c r="M164">
        <f t="shared" si="27"/>
        <v>-5.3764999999998508</v>
      </c>
      <c r="N164" s="1">
        <v>2022.8979999999999</v>
      </c>
      <c r="O164" s="1">
        <v>926.76599999999996</v>
      </c>
      <c r="P164" s="1">
        <v>1360.444</v>
      </c>
      <c r="Q164" s="1">
        <v>626.01800000000003</v>
      </c>
      <c r="R164" s="2">
        <f t="shared" si="21"/>
        <v>-765.96849999999995</v>
      </c>
      <c r="S164">
        <f t="shared" si="28"/>
        <v>-5.3045000000001892</v>
      </c>
      <c r="T164" s="1">
        <v>1180.4880000000001</v>
      </c>
      <c r="U164" s="1">
        <v>696.92399999999998</v>
      </c>
      <c r="V164" s="1">
        <v>967.59699999999998</v>
      </c>
      <c r="W164" s="1">
        <v>781.57399999999996</v>
      </c>
      <c r="X164" s="2">
        <f t="shared" si="23"/>
        <v>-872.61750000000006</v>
      </c>
      <c r="Y164" s="6"/>
      <c r="Z164" s="7"/>
      <c r="AB164" s="6"/>
      <c r="AC164" s="8"/>
      <c r="AD164" s="2">
        <f t="shared" si="29"/>
        <v>6.9175000000000182</v>
      </c>
      <c r="AE164" s="2"/>
      <c r="AF164" s="2"/>
      <c r="AG164" s="3"/>
      <c r="AH164" s="2"/>
      <c r="AI164" s="2"/>
      <c r="AJ164" s="6"/>
      <c r="AK164" s="6"/>
      <c r="AL164" s="6"/>
      <c r="AM164" s="6"/>
      <c r="AN164" s="6"/>
      <c r="AO164" s="6"/>
      <c r="AP164" s="6"/>
      <c r="AQ164" s="8"/>
      <c r="AR164" s="8"/>
      <c r="AS164" s="6"/>
      <c r="AT164" s="6"/>
      <c r="AU164" s="6"/>
      <c r="AV164" s="7"/>
      <c r="AW164" s="7"/>
      <c r="AX164" s="7"/>
      <c r="AY164" s="7"/>
      <c r="BB164" s="6"/>
      <c r="BC164" s="6"/>
      <c r="BD164" s="6"/>
      <c r="BE164" s="6"/>
      <c r="BF164" s="6"/>
      <c r="BG164" s="6"/>
      <c r="BH164" s="6"/>
      <c r="BI164" s="6"/>
      <c r="BJ164" s="6"/>
      <c r="BK164" s="6"/>
      <c r="BL164" s="8"/>
      <c r="BM164" s="6"/>
      <c r="BN164" s="6"/>
      <c r="BO164" s="6"/>
      <c r="BP164" s="6"/>
      <c r="BQ164" s="6"/>
      <c r="BR164" s="6"/>
      <c r="BS164" s="6"/>
      <c r="BT164" s="8"/>
      <c r="BU164" s="6"/>
      <c r="BV164" s="6"/>
      <c r="BW164" s="6"/>
      <c r="BX164" s="8"/>
      <c r="BY164" s="6"/>
      <c r="BZ164" s="7"/>
      <c r="CA164" s="7"/>
      <c r="CB164" s="7"/>
      <c r="CC164" s="7"/>
      <c r="CD164" s="7"/>
      <c r="CE164" s="7"/>
    </row>
    <row r="165" spans="1:83" ht="14" x14ac:dyDescent="0.3">
      <c r="A165" s="2">
        <f t="shared" si="4"/>
        <v>81.5</v>
      </c>
      <c r="B165" s="2">
        <v>737.49900000000002</v>
      </c>
      <c r="C165" s="2">
        <v>644.58900000000006</v>
      </c>
      <c r="D165" s="2">
        <v>549.87199999999996</v>
      </c>
      <c r="E165" s="2">
        <v>709.52300000000002</v>
      </c>
      <c r="F165" s="2">
        <f t="shared" si="17"/>
        <v>-1339.62925</v>
      </c>
      <c r="G165">
        <f t="shared" si="25"/>
        <v>-3.468000000000302</v>
      </c>
      <c r="H165" s="1">
        <v>834.096</v>
      </c>
      <c r="I165" s="1">
        <v>732.58900000000006</v>
      </c>
      <c r="J165" s="1">
        <v>1100.0940000000001</v>
      </c>
      <c r="K165" s="1">
        <v>719.85</v>
      </c>
      <c r="L165" s="2">
        <f t="shared" si="26"/>
        <v>-1153.34275</v>
      </c>
      <c r="M165">
        <f t="shared" si="27"/>
        <v>-5.637000000000171</v>
      </c>
      <c r="N165" s="1">
        <v>2018.626</v>
      </c>
      <c r="O165" s="1">
        <v>923.12699999999995</v>
      </c>
      <c r="P165" s="1">
        <v>1357.223</v>
      </c>
      <c r="Q165" s="1">
        <v>623.87300000000005</v>
      </c>
      <c r="R165" s="2">
        <f t="shared" si="21"/>
        <v>-769.28774999999996</v>
      </c>
      <c r="S165">
        <f t="shared" si="28"/>
        <v>-4.9789999999998145</v>
      </c>
      <c r="T165" s="1">
        <v>1160.338</v>
      </c>
      <c r="U165" s="1">
        <v>685.43499999999995</v>
      </c>
      <c r="V165" s="1">
        <v>963.96799999999996</v>
      </c>
      <c r="W165" s="1">
        <v>782.90099999999995</v>
      </c>
      <c r="X165" s="2">
        <f t="shared" si="23"/>
        <v>-885.21399999999994</v>
      </c>
      <c r="Y165" s="6"/>
      <c r="Z165" s="7"/>
      <c r="AB165" s="6"/>
      <c r="AC165" s="8"/>
      <c r="AD165" s="2">
        <f t="shared" si="29"/>
        <v>-14.246500000000196</v>
      </c>
      <c r="AE165" s="2"/>
      <c r="AF165" s="2"/>
      <c r="AG165" s="2"/>
      <c r="AH165" s="2"/>
      <c r="AI165" s="2"/>
      <c r="AJ165" s="6"/>
      <c r="AK165" s="6"/>
      <c r="AL165" s="6"/>
      <c r="AM165" s="6"/>
      <c r="AN165" s="6"/>
      <c r="AO165" s="6"/>
      <c r="AP165" s="6"/>
      <c r="AQ165" s="8"/>
      <c r="AR165" s="8"/>
      <c r="AS165" s="6"/>
      <c r="AT165" s="6"/>
      <c r="AU165" s="6"/>
      <c r="AV165" s="7"/>
      <c r="AW165" s="7"/>
      <c r="AX165" s="7"/>
      <c r="AY165" s="7"/>
      <c r="BB165" s="6"/>
      <c r="BC165" s="6"/>
      <c r="BD165" s="6"/>
      <c r="BE165" s="6"/>
      <c r="BF165" s="6"/>
      <c r="BG165" s="6"/>
      <c r="BH165" s="6"/>
      <c r="BI165" s="6"/>
      <c r="BJ165" s="6"/>
      <c r="BK165" s="6"/>
      <c r="BL165" s="8"/>
      <c r="BM165" s="6"/>
      <c r="BN165" s="6"/>
      <c r="BO165" s="6"/>
      <c r="BP165" s="6"/>
      <c r="BQ165" s="6"/>
      <c r="BR165" s="6"/>
      <c r="BS165" s="6"/>
      <c r="BT165" s="8"/>
      <c r="BU165" s="6"/>
      <c r="BV165" s="6"/>
      <c r="BW165" s="6"/>
      <c r="BX165" s="8"/>
      <c r="BY165" s="6"/>
      <c r="BZ165" s="7"/>
      <c r="CA165" s="7"/>
      <c r="CB165" s="7"/>
      <c r="CC165" s="7"/>
      <c r="CD165" s="7"/>
      <c r="CE165" s="7"/>
    </row>
    <row r="166" spans="1:83" ht="14" x14ac:dyDescent="0.3">
      <c r="A166" s="2">
        <f t="shared" si="4"/>
        <v>82</v>
      </c>
      <c r="B166" s="2">
        <v>735.30100000000004</v>
      </c>
      <c r="C166" s="2">
        <v>643.24199999999996</v>
      </c>
      <c r="D166" s="2">
        <v>549.95399999999995</v>
      </c>
      <c r="E166" s="2">
        <v>709.43600000000004</v>
      </c>
      <c r="F166" s="2">
        <f t="shared" si="17"/>
        <v>-1340.51675</v>
      </c>
      <c r="G166">
        <f t="shared" si="25"/>
        <v>-3.2394999999996799</v>
      </c>
      <c r="H166" s="1">
        <v>831.745</v>
      </c>
      <c r="I166" s="1">
        <v>731.90599999999995</v>
      </c>
      <c r="J166" s="1">
        <v>1097.799</v>
      </c>
      <c r="K166" s="1">
        <v>714.42600000000004</v>
      </c>
      <c r="L166" s="2">
        <f t="shared" si="26"/>
        <v>-1156.0309999999999</v>
      </c>
      <c r="M166">
        <f t="shared" si="27"/>
        <v>-2.8294999999998254</v>
      </c>
      <c r="N166" s="1">
        <v>2009.604</v>
      </c>
      <c r="O166" s="1">
        <v>924.32500000000005</v>
      </c>
      <c r="P166" s="1">
        <v>1356.0709999999999</v>
      </c>
      <c r="Q166" s="1">
        <v>622.24</v>
      </c>
      <c r="R166" s="2">
        <f t="shared" si="21"/>
        <v>-771.94</v>
      </c>
      <c r="S166">
        <f t="shared" si="28"/>
        <v>-5.3600000000001273</v>
      </c>
      <c r="T166" s="1">
        <v>1173.643</v>
      </c>
      <c r="U166" s="1">
        <v>685.59199999999998</v>
      </c>
      <c r="V166" s="1">
        <v>964.07600000000002</v>
      </c>
      <c r="W166" s="1">
        <v>783.27800000000002</v>
      </c>
      <c r="X166" s="2">
        <f t="shared" si="23"/>
        <v>-881.75524999999993</v>
      </c>
      <c r="Y166" s="6"/>
      <c r="Z166" s="7"/>
      <c r="AB166" s="6"/>
      <c r="AC166" s="8"/>
      <c r="AD166" s="2">
        <f t="shared" si="29"/>
        <v>0.34249999999974534</v>
      </c>
      <c r="AE166" s="2"/>
      <c r="AF166" s="3"/>
      <c r="AG166" s="3"/>
      <c r="AH166" s="2"/>
      <c r="AI166" s="2"/>
      <c r="AJ166" s="6"/>
      <c r="AK166" s="6"/>
      <c r="AL166" s="6"/>
      <c r="AM166" s="6"/>
      <c r="AN166" s="6"/>
      <c r="AO166" s="6"/>
      <c r="AP166" s="6"/>
      <c r="AQ166" s="8"/>
      <c r="AR166" s="8"/>
      <c r="AS166" s="6"/>
      <c r="AT166" s="6"/>
      <c r="AU166" s="6"/>
      <c r="AV166" s="7"/>
      <c r="AW166" s="7"/>
      <c r="AX166" s="7"/>
      <c r="AY166" s="7"/>
      <c r="BB166" s="6"/>
      <c r="BC166" s="6"/>
      <c r="BD166" s="6"/>
      <c r="BE166" s="6"/>
      <c r="BF166" s="6"/>
      <c r="BG166" s="6"/>
      <c r="BH166" s="6"/>
      <c r="BI166" s="6"/>
      <c r="BJ166" s="6"/>
      <c r="BK166" s="6"/>
      <c r="BL166" s="8"/>
      <c r="BM166" s="6"/>
      <c r="BN166" s="6"/>
      <c r="BO166" s="6"/>
      <c r="BP166" s="6"/>
      <c r="BQ166" s="6"/>
      <c r="BR166" s="6"/>
      <c r="BS166" s="6"/>
      <c r="BT166" s="8"/>
      <c r="BU166" s="6"/>
      <c r="BV166" s="6"/>
      <c r="BW166" s="6"/>
      <c r="BX166" s="8"/>
      <c r="BY166" s="6"/>
      <c r="BZ166" s="7"/>
      <c r="CA166" s="7"/>
      <c r="CB166" s="7"/>
      <c r="CC166" s="7"/>
      <c r="CD166" s="7"/>
      <c r="CE166" s="7"/>
    </row>
    <row r="167" spans="1:83" ht="14" x14ac:dyDescent="0.3">
      <c r="A167" s="2">
        <f t="shared" si="4"/>
        <v>82.5</v>
      </c>
      <c r="B167" s="2">
        <v>733.52</v>
      </c>
      <c r="C167" s="2">
        <v>641.74900000000002</v>
      </c>
      <c r="D167" s="2">
        <v>548.46500000000003</v>
      </c>
      <c r="E167" s="2">
        <v>707.26300000000003</v>
      </c>
      <c r="F167" s="2">
        <f t="shared" si="17"/>
        <v>-1342.2507500000002</v>
      </c>
      <c r="G167">
        <f t="shared" si="25"/>
        <v>-2.4164999999998145</v>
      </c>
      <c r="H167" s="1">
        <v>828.15899999999999</v>
      </c>
      <c r="I167" s="1">
        <v>729.59699999999998</v>
      </c>
      <c r="J167" s="1">
        <v>1095.3689999999999</v>
      </c>
      <c r="K167" s="1">
        <v>711.47699999999998</v>
      </c>
      <c r="L167" s="2">
        <f t="shared" si="26"/>
        <v>-1158.8495</v>
      </c>
      <c r="M167">
        <f t="shared" si="27"/>
        <v>-5.9160000000001673</v>
      </c>
      <c r="N167" s="1">
        <v>2009.6210000000001</v>
      </c>
      <c r="O167" s="1">
        <v>920.80899999999997</v>
      </c>
      <c r="P167" s="1">
        <v>1350.9110000000001</v>
      </c>
      <c r="Q167" s="1">
        <v>620.94100000000003</v>
      </c>
      <c r="R167" s="2">
        <f t="shared" si="21"/>
        <v>-774.42949999999996</v>
      </c>
      <c r="S167">
        <f t="shared" si="28"/>
        <v>-7.4704999999999018</v>
      </c>
      <c r="T167" s="1">
        <v>1154.616</v>
      </c>
      <c r="U167" s="1">
        <v>683.38599999999997</v>
      </c>
      <c r="V167" s="1">
        <v>961.54899999999998</v>
      </c>
      <c r="W167" s="1">
        <v>779.93700000000001</v>
      </c>
      <c r="X167" s="2">
        <f t="shared" si="23"/>
        <v>-888.87850000000003</v>
      </c>
      <c r="Y167" s="6"/>
      <c r="Z167" s="7"/>
      <c r="AB167" s="6"/>
      <c r="AC167" s="8"/>
      <c r="AD167" s="2">
        <f t="shared" si="29"/>
        <v>-1.3429999999998472</v>
      </c>
      <c r="AE167" s="2"/>
      <c r="AF167" s="2"/>
      <c r="AG167" s="2"/>
      <c r="AH167" s="2"/>
      <c r="AI167" s="2"/>
      <c r="AJ167" s="6"/>
      <c r="AK167" s="6"/>
      <c r="AL167" s="6"/>
      <c r="AM167" s="6"/>
      <c r="AN167" s="6"/>
      <c r="AO167" s="6"/>
      <c r="AP167" s="6"/>
      <c r="AQ167" s="8"/>
      <c r="AR167" s="8"/>
      <c r="AS167" s="6"/>
      <c r="AT167" s="8"/>
      <c r="AU167" s="6"/>
      <c r="AV167" s="7"/>
      <c r="AW167" s="7"/>
      <c r="AX167" s="7"/>
      <c r="AY167" s="7"/>
      <c r="BB167" s="6"/>
      <c r="BC167" s="6"/>
      <c r="BD167" s="6"/>
      <c r="BE167" s="6"/>
      <c r="BF167" s="6"/>
      <c r="BG167" s="6"/>
      <c r="BH167" s="6"/>
      <c r="BI167" s="6"/>
      <c r="BJ167" s="6"/>
      <c r="BK167" s="6"/>
      <c r="BL167" s="8"/>
      <c r="BM167" s="6"/>
      <c r="BN167" s="6"/>
      <c r="BO167" s="6"/>
      <c r="BP167" s="6"/>
      <c r="BQ167" s="6"/>
      <c r="BR167" s="6"/>
      <c r="BS167" s="6"/>
      <c r="BT167" s="12"/>
      <c r="BU167" s="9"/>
      <c r="BV167" s="6"/>
      <c r="BW167" s="9"/>
      <c r="BX167" s="8"/>
      <c r="BY167" s="6"/>
      <c r="BZ167" s="7"/>
      <c r="CA167" s="7"/>
      <c r="CB167" s="7"/>
      <c r="CC167" s="7"/>
      <c r="CD167" s="7"/>
      <c r="CE167" s="7"/>
    </row>
    <row r="168" spans="1:83" ht="14" x14ac:dyDescent="0.3">
      <c r="A168" s="2">
        <f t="shared" si="4"/>
        <v>83</v>
      </c>
      <c r="B168" s="2">
        <v>732.38</v>
      </c>
      <c r="C168" s="2">
        <v>640.947</v>
      </c>
      <c r="D168" s="2">
        <v>547.59400000000005</v>
      </c>
      <c r="E168" s="2">
        <v>703.59699999999998</v>
      </c>
      <c r="F168" s="2">
        <f t="shared" si="17"/>
        <v>-1343.8705</v>
      </c>
      <c r="G168">
        <f t="shared" si="25"/>
        <v>-2.30600000000004</v>
      </c>
      <c r="H168" s="1">
        <v>830.49800000000005</v>
      </c>
      <c r="I168" s="1">
        <v>728.053</v>
      </c>
      <c r="J168" s="1">
        <v>1092.623</v>
      </c>
      <c r="K168" s="1">
        <v>707.76900000000001</v>
      </c>
      <c r="L168" s="2">
        <f t="shared" si="26"/>
        <v>-1160.2642499999999</v>
      </c>
      <c r="M168">
        <f t="shared" si="27"/>
        <v>-6.2519999999999527</v>
      </c>
      <c r="N168" s="1">
        <v>2003.663</v>
      </c>
      <c r="O168" s="1">
        <v>919.93100000000004</v>
      </c>
      <c r="P168" s="1">
        <v>1347.434</v>
      </c>
      <c r="Q168" s="1">
        <v>620.53399999999999</v>
      </c>
      <c r="R168" s="2">
        <f t="shared" si="21"/>
        <v>-777.10950000000003</v>
      </c>
      <c r="S168">
        <f t="shared" si="28"/>
        <v>-0.94650000000001455</v>
      </c>
      <c r="T168" s="1">
        <v>1166.7249999999999</v>
      </c>
      <c r="U168" s="1">
        <v>681.12199999999996</v>
      </c>
      <c r="V168" s="1">
        <v>958.101</v>
      </c>
      <c r="W168" s="1">
        <v>778.22500000000002</v>
      </c>
      <c r="X168" s="2">
        <f t="shared" si="23"/>
        <v>-888.70725000000016</v>
      </c>
      <c r="Y168" s="6"/>
      <c r="Z168" s="7"/>
      <c r="AB168" s="6"/>
      <c r="AC168" s="8"/>
      <c r="AD168" s="2">
        <f t="shared" si="29"/>
        <v>-2.6354999999998654</v>
      </c>
      <c r="AE168" s="2"/>
      <c r="AF168" s="2"/>
      <c r="AG168" s="2"/>
      <c r="AH168" s="2"/>
      <c r="AI168" s="2"/>
      <c r="AJ168" s="6"/>
      <c r="AK168" s="6"/>
      <c r="AL168" s="6"/>
      <c r="AM168" s="6"/>
      <c r="AN168" s="6"/>
      <c r="AO168" s="6"/>
      <c r="AP168" s="6"/>
      <c r="AQ168" s="8"/>
      <c r="AR168" s="8"/>
      <c r="AS168" s="6"/>
      <c r="AT168" s="8"/>
      <c r="AU168" s="6"/>
      <c r="AV168" s="7"/>
      <c r="AW168" s="7"/>
      <c r="AX168" s="7"/>
      <c r="AY168" s="7"/>
      <c r="BB168" s="6"/>
      <c r="BC168" s="6"/>
      <c r="BD168" s="6"/>
      <c r="BE168" s="6"/>
      <c r="BF168" s="6"/>
      <c r="BG168" s="6"/>
      <c r="BH168" s="6"/>
      <c r="BI168" s="6"/>
      <c r="BJ168" s="6"/>
      <c r="BK168" s="6"/>
      <c r="BL168" s="8"/>
      <c r="BM168" s="6"/>
      <c r="BN168" s="6"/>
      <c r="BO168" s="6"/>
      <c r="BP168" s="6"/>
      <c r="BQ168" s="6"/>
      <c r="BR168" s="9"/>
      <c r="BS168" s="9"/>
      <c r="BT168" s="8"/>
      <c r="BU168" s="6"/>
      <c r="BV168" s="6"/>
      <c r="BW168" s="6"/>
      <c r="BX168" s="8"/>
      <c r="BY168" s="6"/>
      <c r="BZ168" s="7"/>
      <c r="CA168" s="7"/>
      <c r="CB168" s="7"/>
      <c r="CC168" s="7"/>
      <c r="CD168" s="7"/>
      <c r="CE168" s="7"/>
    </row>
    <row r="169" spans="1:83" ht="14" x14ac:dyDescent="0.3">
      <c r="A169" s="2">
        <f t="shared" si="4"/>
        <v>83.5</v>
      </c>
      <c r="B169" s="2">
        <v>729.50800000000004</v>
      </c>
      <c r="C169" s="2">
        <v>641.06500000000005</v>
      </c>
      <c r="D169" s="2">
        <v>547.21400000000006</v>
      </c>
      <c r="E169" s="2">
        <v>701.89800000000002</v>
      </c>
      <c r="F169" s="2">
        <f t="shared" si="17"/>
        <v>-1345.0787499999999</v>
      </c>
      <c r="G169">
        <f t="shared" si="25"/>
        <v>-3.5165000000001783</v>
      </c>
      <c r="H169" s="1">
        <v>821.12400000000002</v>
      </c>
      <c r="I169" s="10">
        <v>724.54100000000005</v>
      </c>
      <c r="J169" s="1">
        <v>1087.548</v>
      </c>
      <c r="K169" s="1">
        <v>713.89800000000002</v>
      </c>
      <c r="L169" s="2">
        <f t="shared" si="26"/>
        <v>-1163.22225</v>
      </c>
      <c r="M169">
        <f t="shared" si="27"/>
        <v>3.0720000000001164</v>
      </c>
      <c r="N169" s="1">
        <v>1993.2619999999999</v>
      </c>
      <c r="O169" s="1">
        <v>919.98</v>
      </c>
      <c r="P169" s="1">
        <v>1344.3</v>
      </c>
      <c r="Q169" s="1">
        <v>619.07899999999995</v>
      </c>
      <c r="R169" s="2">
        <f t="shared" si="21"/>
        <v>-780.84474999999998</v>
      </c>
      <c r="S169">
        <f t="shared" si="28"/>
        <v>-8.1659999999997126</v>
      </c>
      <c r="T169" s="1">
        <v>1163.6990000000001</v>
      </c>
      <c r="U169" s="2">
        <v>682.21400000000006</v>
      </c>
      <c r="V169" s="1">
        <v>957.17899999999997</v>
      </c>
      <c r="W169" s="1">
        <v>777.78300000000002</v>
      </c>
      <c r="X169" s="2">
        <f t="shared" si="23"/>
        <v>-889.37875000000008</v>
      </c>
      <c r="Y169" s="6"/>
      <c r="Z169" s="7"/>
      <c r="AB169" s="6"/>
      <c r="AC169" s="8"/>
      <c r="AD169" s="2">
        <f t="shared" si="29"/>
        <v>-14.428499999999985</v>
      </c>
      <c r="AE169" s="2"/>
      <c r="AF169" s="2"/>
      <c r="AG169" s="2"/>
      <c r="AH169" s="2"/>
      <c r="AI169" s="2"/>
      <c r="AJ169" s="6"/>
      <c r="AK169" s="6"/>
      <c r="AL169" s="6"/>
      <c r="AM169" s="6"/>
      <c r="AN169" s="6"/>
      <c r="AO169" s="6"/>
      <c r="AP169" s="6"/>
      <c r="AQ169" s="8"/>
      <c r="AR169" s="8"/>
      <c r="AS169" s="6"/>
      <c r="AT169" s="12"/>
      <c r="AU169" s="6"/>
      <c r="AV169" s="7"/>
      <c r="AW169" s="7"/>
      <c r="AX169" s="7"/>
      <c r="AY169" s="7"/>
      <c r="BB169" s="6"/>
      <c r="BC169" s="6"/>
      <c r="BD169" s="6"/>
      <c r="BE169" s="6"/>
      <c r="BF169" s="6"/>
      <c r="BG169" s="6"/>
      <c r="BH169" s="6"/>
      <c r="BI169" s="6"/>
      <c r="BJ169" s="6"/>
      <c r="BK169" s="6"/>
      <c r="BL169" s="8"/>
      <c r="BM169" s="9"/>
      <c r="BN169" s="6"/>
      <c r="BO169" s="6"/>
      <c r="BP169" s="6"/>
      <c r="BQ169" s="6"/>
      <c r="BR169" s="9"/>
      <c r="BS169" s="6"/>
      <c r="BT169" s="12"/>
      <c r="BU169" s="6"/>
      <c r="BV169" s="6"/>
      <c r="BW169" s="9"/>
      <c r="BX169" s="8"/>
      <c r="BY169" s="8"/>
      <c r="BZ169" s="7"/>
      <c r="CA169" s="7"/>
      <c r="CB169" s="7"/>
      <c r="CC169" s="7"/>
      <c r="CD169" s="7"/>
      <c r="CE169" s="7"/>
    </row>
    <row r="170" spans="1:83" ht="14" x14ac:dyDescent="0.3">
      <c r="A170" s="2">
        <f t="shared" si="4"/>
        <v>84</v>
      </c>
      <c r="B170" s="2">
        <v>728.81</v>
      </c>
      <c r="C170" s="2">
        <v>638.476</v>
      </c>
      <c r="D170" s="2">
        <v>547.50099999999998</v>
      </c>
      <c r="E170" s="2">
        <v>700.28599999999994</v>
      </c>
      <c r="F170" s="2">
        <f t="shared" si="17"/>
        <v>-1346.2317499999999</v>
      </c>
      <c r="G170">
        <f t="shared" si="25"/>
        <v>-0.87300000000004729</v>
      </c>
      <c r="H170" s="1">
        <v>819.18799999999999</v>
      </c>
      <c r="I170" s="1">
        <v>723.86699999999996</v>
      </c>
      <c r="J170" s="1">
        <v>1086.0899999999999</v>
      </c>
      <c r="K170" s="1">
        <v>705.46199999999999</v>
      </c>
      <c r="L170" s="2">
        <f t="shared" si="26"/>
        <v>-1166.34825</v>
      </c>
      <c r="M170">
        <f t="shared" si="27"/>
        <v>-6.9875000000001819</v>
      </c>
      <c r="N170" s="1">
        <v>1988.5029999999999</v>
      </c>
      <c r="O170" s="1">
        <v>922.56500000000005</v>
      </c>
      <c r="P170" s="1">
        <v>1344.4839999999999</v>
      </c>
      <c r="Q170" s="1">
        <v>619.17600000000004</v>
      </c>
      <c r="R170" s="2">
        <f t="shared" si="21"/>
        <v>-781.31799999999998</v>
      </c>
      <c r="S170">
        <f t="shared" si="28"/>
        <v>-4.6965000000004693</v>
      </c>
      <c r="T170" s="1">
        <v>1161.454</v>
      </c>
      <c r="U170" s="2">
        <v>681.46</v>
      </c>
      <c r="V170" s="1">
        <v>956.42</v>
      </c>
      <c r="W170" s="1">
        <v>775.56200000000001</v>
      </c>
      <c r="X170" s="2">
        <f t="shared" si="23"/>
        <v>-890.69650000000001</v>
      </c>
      <c r="Y170" s="6"/>
      <c r="Z170" s="7"/>
      <c r="AB170" s="6"/>
      <c r="AC170" s="8"/>
      <c r="AD170" s="2">
        <f t="shared" si="29"/>
        <v>-1.4880000000002838</v>
      </c>
      <c r="AE170" s="3"/>
      <c r="AF170" s="2"/>
      <c r="AG170" s="2"/>
      <c r="AH170" s="2"/>
      <c r="AI170" s="2"/>
      <c r="AJ170" s="6"/>
      <c r="AK170" s="6"/>
      <c r="AL170" s="6"/>
      <c r="AM170" s="6"/>
      <c r="AN170" s="6"/>
      <c r="AO170" s="6"/>
      <c r="AP170" s="6"/>
      <c r="AQ170" s="8"/>
      <c r="AR170" s="8"/>
      <c r="AS170" s="6"/>
      <c r="AT170" s="12"/>
      <c r="AU170" s="6"/>
      <c r="AV170" s="7"/>
      <c r="AW170" s="7"/>
      <c r="AX170" s="7"/>
      <c r="AY170" s="7"/>
      <c r="BB170" s="6"/>
      <c r="BC170" s="6"/>
      <c r="BD170" s="6"/>
      <c r="BE170" s="6"/>
      <c r="BF170" s="6"/>
      <c r="BG170" s="6"/>
      <c r="BH170" s="6"/>
      <c r="BI170" s="6"/>
      <c r="BJ170" s="6"/>
      <c r="BK170" s="6"/>
      <c r="BL170" s="8"/>
      <c r="BM170" s="6"/>
      <c r="BN170" s="6"/>
      <c r="BO170" s="6"/>
      <c r="BP170" s="6"/>
      <c r="BQ170" s="6"/>
      <c r="BR170" s="6"/>
      <c r="BS170" s="6"/>
      <c r="BT170" s="8"/>
      <c r="BU170" s="6"/>
      <c r="BV170" s="6"/>
      <c r="BW170" s="6"/>
      <c r="BX170" s="8"/>
      <c r="BY170" s="8"/>
      <c r="BZ170" s="7"/>
      <c r="CA170" s="7"/>
      <c r="CB170" s="7"/>
      <c r="CC170" s="7"/>
      <c r="CD170" s="7"/>
      <c r="CE170" s="7"/>
    </row>
    <row r="171" spans="1:83" ht="14" x14ac:dyDescent="0.3">
      <c r="A171" s="2">
        <f t="shared" si="4"/>
        <v>84.5</v>
      </c>
      <c r="B171" s="2">
        <v>727.15300000000002</v>
      </c>
      <c r="C171" s="2">
        <v>636.64099999999996</v>
      </c>
      <c r="D171" s="2">
        <v>545.75199999999995</v>
      </c>
      <c r="E171" s="2">
        <v>698.49400000000003</v>
      </c>
      <c r="F171" s="2">
        <f t="shared" si="17"/>
        <v>-1347.99</v>
      </c>
      <c r="G171">
        <f t="shared" si="25"/>
        <v>-2.9639999999999418</v>
      </c>
      <c r="H171" s="1">
        <v>817.09799999999996</v>
      </c>
      <c r="I171" s="10">
        <v>724.30200000000002</v>
      </c>
      <c r="J171" s="1">
        <v>1086.2190000000001</v>
      </c>
      <c r="K171" s="1">
        <v>713.13199999999995</v>
      </c>
      <c r="L171" s="2">
        <f t="shared" si="26"/>
        <v>-1164.8122499999999</v>
      </c>
      <c r="M171">
        <f t="shared" si="27"/>
        <v>2.2274999999999636</v>
      </c>
      <c r="N171" s="1">
        <v>1985.2840000000001</v>
      </c>
      <c r="O171" s="1">
        <v>914.18600000000004</v>
      </c>
      <c r="P171" s="1">
        <v>1340.451</v>
      </c>
      <c r="Q171" s="1">
        <v>618.47500000000002</v>
      </c>
      <c r="R171" s="2">
        <f t="shared" si="21"/>
        <v>-785.40099999999984</v>
      </c>
      <c r="S171">
        <f t="shared" si="28"/>
        <v>-4.1100000000001273</v>
      </c>
      <c r="T171" s="1">
        <v>1143.377</v>
      </c>
      <c r="U171" s="1">
        <v>678.62</v>
      </c>
      <c r="V171" s="1">
        <v>953.87</v>
      </c>
      <c r="W171" s="1">
        <v>773.80100000000004</v>
      </c>
      <c r="X171" s="2">
        <f t="shared" si="23"/>
        <v>-897.91075000000001</v>
      </c>
      <c r="Y171" s="6"/>
      <c r="Z171" s="7"/>
      <c r="AB171" s="6"/>
      <c r="AC171" s="8"/>
      <c r="AD171" s="2">
        <f t="shared" si="29"/>
        <v>-2.369499999999789</v>
      </c>
      <c r="AE171" s="2"/>
      <c r="AF171" s="2"/>
      <c r="AG171" s="2"/>
      <c r="AH171" s="2"/>
      <c r="AI171" s="2"/>
      <c r="AJ171" s="8"/>
      <c r="AK171" s="6"/>
      <c r="AL171" s="6"/>
      <c r="AM171" s="6"/>
      <c r="AN171" s="6"/>
      <c r="AO171" s="6"/>
      <c r="AP171" s="6"/>
      <c r="AQ171" s="8"/>
      <c r="AR171" s="8"/>
      <c r="AS171" s="6"/>
      <c r="AT171" s="8"/>
      <c r="AU171" s="6"/>
      <c r="AV171" s="7"/>
      <c r="AW171" s="7"/>
      <c r="AX171" s="7"/>
      <c r="AY171" s="7"/>
      <c r="BB171" s="6"/>
      <c r="BC171" s="6"/>
      <c r="BD171" s="6"/>
      <c r="BE171" s="6"/>
      <c r="BF171" s="6"/>
      <c r="BG171" s="6"/>
      <c r="BH171" s="6"/>
      <c r="BI171" s="6"/>
      <c r="BJ171" s="6"/>
      <c r="BK171" s="6"/>
      <c r="BL171" s="8"/>
      <c r="BM171" s="6"/>
      <c r="BN171" s="6"/>
      <c r="BO171" s="6"/>
      <c r="BP171" s="6"/>
      <c r="BQ171" s="6"/>
      <c r="BR171" s="6"/>
      <c r="BS171" s="6"/>
      <c r="BT171" s="8"/>
      <c r="BU171" s="6"/>
      <c r="BV171" s="6"/>
      <c r="BW171" s="6"/>
      <c r="BX171" s="8"/>
      <c r="BY171" s="8"/>
      <c r="BZ171" s="7"/>
      <c r="CA171" s="7"/>
      <c r="CB171" s="7"/>
      <c r="CC171" s="7"/>
      <c r="CD171" s="7"/>
      <c r="CE171" s="7"/>
    </row>
    <row r="172" spans="1:83" ht="14" x14ac:dyDescent="0.3">
      <c r="A172" s="2">
        <f t="shared" si="4"/>
        <v>85</v>
      </c>
      <c r="B172" s="2">
        <v>726.58600000000001</v>
      </c>
      <c r="C172" s="2">
        <v>636.20699999999999</v>
      </c>
      <c r="D172" s="2">
        <v>546.49099999999999</v>
      </c>
      <c r="E172" s="2">
        <v>697.01</v>
      </c>
      <c r="F172" s="2">
        <f t="shared" si="17"/>
        <v>-1348.4265</v>
      </c>
      <c r="G172">
        <f t="shared" si="25"/>
        <v>-2.0079999999998108</v>
      </c>
      <c r="H172" s="1">
        <v>814.16700000000003</v>
      </c>
      <c r="I172" s="1">
        <v>722.452</v>
      </c>
      <c r="J172" s="1">
        <v>1082.499</v>
      </c>
      <c r="K172" s="1">
        <v>707.65800000000002</v>
      </c>
      <c r="L172" s="2">
        <f t="shared" si="26"/>
        <v>-1168.306</v>
      </c>
      <c r="M172">
        <f t="shared" si="27"/>
        <v>-6.0029999999997017</v>
      </c>
      <c r="N172" s="1">
        <v>1981.684</v>
      </c>
      <c r="O172" s="1">
        <v>913.84699999999998</v>
      </c>
      <c r="P172" s="1">
        <v>1336.5050000000001</v>
      </c>
      <c r="Q172" s="1">
        <v>616.96699999999998</v>
      </c>
      <c r="R172" s="2">
        <f t="shared" si="21"/>
        <v>-787.74925000000007</v>
      </c>
      <c r="S172">
        <f t="shared" si="28"/>
        <v>-3.2809999999999491</v>
      </c>
      <c r="T172" s="1">
        <v>1145.1969999999999</v>
      </c>
      <c r="U172" s="1">
        <v>677.80700000000002</v>
      </c>
      <c r="V172" s="1">
        <v>952.28499999999997</v>
      </c>
      <c r="W172" s="1">
        <v>771.81399999999996</v>
      </c>
      <c r="X172" s="2">
        <f t="shared" si="23"/>
        <v>-898.65475000000015</v>
      </c>
      <c r="Y172" s="6"/>
      <c r="Z172" s="7"/>
      <c r="AB172" s="6"/>
      <c r="AC172" s="8"/>
      <c r="AD172" s="2">
        <f t="shared" si="29"/>
        <v>-6.5225000000000364</v>
      </c>
      <c r="AE172" s="2"/>
      <c r="AF172" s="2"/>
      <c r="AG172" s="2"/>
      <c r="AH172" s="2"/>
      <c r="AI172" s="2"/>
      <c r="AJ172" s="8"/>
      <c r="AK172" s="6"/>
      <c r="AL172" s="6"/>
      <c r="AM172" s="6"/>
      <c r="AN172" s="6"/>
      <c r="AO172" s="6"/>
      <c r="AP172" s="6"/>
      <c r="AQ172" s="8"/>
      <c r="AR172" s="8"/>
      <c r="AS172" s="6"/>
      <c r="AT172" s="8"/>
      <c r="AU172" s="6"/>
      <c r="AV172" s="7"/>
      <c r="AW172" s="7"/>
      <c r="AX172" s="7"/>
      <c r="AY172" s="7"/>
      <c r="BB172" s="6"/>
      <c r="BC172" s="6"/>
      <c r="BD172" s="6"/>
      <c r="BE172" s="6"/>
      <c r="BF172" s="6"/>
      <c r="BG172" s="6"/>
      <c r="BH172" s="6"/>
      <c r="BI172" s="6"/>
      <c r="BJ172" s="6"/>
      <c r="BK172" s="6"/>
      <c r="BL172" s="8"/>
      <c r="BM172" s="6"/>
      <c r="BN172" s="6"/>
      <c r="BO172" s="6"/>
      <c r="BP172" s="6"/>
      <c r="BQ172" s="6"/>
      <c r="BR172" s="6"/>
      <c r="BS172" s="6"/>
      <c r="BT172" s="8"/>
      <c r="BU172" s="6"/>
      <c r="BV172" s="6"/>
      <c r="BW172" s="6"/>
      <c r="BX172" s="8"/>
      <c r="BY172" s="8"/>
      <c r="BZ172" s="7"/>
      <c r="CA172" s="7"/>
      <c r="CB172" s="7"/>
      <c r="CC172" s="7"/>
      <c r="CD172" s="7"/>
      <c r="CE172" s="7"/>
    </row>
    <row r="173" spans="1:83" ht="14" x14ac:dyDescent="0.3">
      <c r="A173" s="2">
        <f t="shared" si="4"/>
        <v>85.5</v>
      </c>
      <c r="B173" s="2">
        <v>724.15300000000002</v>
      </c>
      <c r="C173" s="2">
        <v>634.79600000000005</v>
      </c>
      <c r="D173" s="2">
        <v>546.42200000000003</v>
      </c>
      <c r="E173" s="2">
        <v>694.995</v>
      </c>
      <c r="F173" s="2">
        <f t="shared" si="17"/>
        <v>-1349.9085</v>
      </c>
      <c r="G173">
        <f t="shared" si="25"/>
        <v>-1.4155000000000655</v>
      </c>
      <c r="H173" s="1">
        <v>814.65099999999995</v>
      </c>
      <c r="I173" s="1">
        <v>722.72799999999995</v>
      </c>
      <c r="J173" s="1">
        <v>1082.4100000000001</v>
      </c>
      <c r="K173" s="1">
        <v>711.44200000000001</v>
      </c>
      <c r="L173" s="2">
        <f t="shared" si="26"/>
        <v>-1167.1922500000001</v>
      </c>
      <c r="M173">
        <f t="shared" si="27"/>
        <v>-9.5000000001164153E-3</v>
      </c>
      <c r="N173" s="1">
        <v>1979.501</v>
      </c>
      <c r="O173" s="1">
        <v>910.51099999999997</v>
      </c>
      <c r="P173" s="1">
        <v>1334.52</v>
      </c>
      <c r="Q173" s="1">
        <v>616.25099999999998</v>
      </c>
      <c r="R173" s="2">
        <f t="shared" si="21"/>
        <v>-789.80425000000014</v>
      </c>
      <c r="S173">
        <f t="shared" si="28"/>
        <v>-1.8599999999996726</v>
      </c>
      <c r="T173" s="1">
        <v>1142.4860000000001</v>
      </c>
      <c r="U173" s="1">
        <v>677.55100000000004</v>
      </c>
      <c r="V173" s="1">
        <v>951.52700000000004</v>
      </c>
      <c r="W173" s="1">
        <v>770.88</v>
      </c>
      <c r="X173" s="2">
        <f t="shared" si="23"/>
        <v>-899.83950000000004</v>
      </c>
      <c r="Y173" s="6"/>
      <c r="Z173" s="7"/>
      <c r="AB173" s="6"/>
      <c r="AC173" s="8"/>
      <c r="AD173" s="2">
        <f t="shared" si="29"/>
        <v>-1.3299999999999272</v>
      </c>
      <c r="AE173" s="2"/>
      <c r="AF173" s="2"/>
      <c r="AG173" s="2"/>
      <c r="AH173" s="2"/>
      <c r="AI173" s="2"/>
      <c r="AJ173" s="8"/>
      <c r="AK173" s="6"/>
      <c r="AL173" s="6"/>
      <c r="AM173" s="6"/>
      <c r="AN173" s="6"/>
      <c r="AO173" s="6"/>
      <c r="AP173" s="6"/>
      <c r="AQ173" s="8"/>
      <c r="AR173" s="8"/>
      <c r="AS173" s="6"/>
      <c r="AT173" s="8"/>
      <c r="AU173" s="6"/>
      <c r="AV173" s="7"/>
      <c r="AW173" s="7"/>
      <c r="AX173" s="7"/>
      <c r="AY173" s="7"/>
      <c r="BB173" s="6"/>
      <c r="BC173" s="6"/>
      <c r="BD173" s="6"/>
      <c r="BE173" s="6"/>
      <c r="BF173" s="6"/>
      <c r="BG173" s="6"/>
      <c r="BH173" s="6"/>
      <c r="BI173" s="6"/>
      <c r="BJ173" s="6"/>
      <c r="BK173" s="6"/>
      <c r="BL173" s="6"/>
      <c r="BM173" s="6"/>
      <c r="BN173" s="6"/>
      <c r="BO173" s="6"/>
      <c r="BP173" s="6"/>
      <c r="BQ173" s="6"/>
      <c r="BR173" s="6"/>
      <c r="BS173" s="6"/>
      <c r="BT173" s="8"/>
      <c r="BU173" s="6"/>
      <c r="BV173" s="6"/>
      <c r="BW173" s="6"/>
      <c r="BX173" s="8"/>
      <c r="BY173" s="6"/>
      <c r="BZ173" s="7"/>
      <c r="CA173" s="7"/>
      <c r="CB173" s="7"/>
      <c r="CC173" s="7"/>
      <c r="CD173" s="7"/>
      <c r="CE173" s="7"/>
    </row>
    <row r="174" spans="1:83" ht="14" x14ac:dyDescent="0.3">
      <c r="A174" s="2">
        <f t="shared" si="4"/>
        <v>86</v>
      </c>
      <c r="B174" s="3">
        <v>722.95299999999997</v>
      </c>
      <c r="C174" s="2">
        <v>633.87300000000005</v>
      </c>
      <c r="D174" s="2">
        <v>545.59199999999998</v>
      </c>
      <c r="E174" s="2">
        <v>693.93200000000002</v>
      </c>
      <c r="F174" s="2">
        <f t="shared" si="17"/>
        <v>-1350.9124999999999</v>
      </c>
      <c r="G174">
        <f t="shared" si="25"/>
        <v>-4.8690000000001419</v>
      </c>
      <c r="H174" s="1">
        <v>815.404</v>
      </c>
      <c r="I174" s="1">
        <v>721.58399999999995</v>
      </c>
      <c r="J174" s="1">
        <v>1080.4359999999999</v>
      </c>
      <c r="K174" s="1">
        <v>701.80100000000004</v>
      </c>
      <c r="L174" s="2">
        <f t="shared" si="26"/>
        <v>-1170.1937499999999</v>
      </c>
      <c r="M174">
        <f t="shared" si="27"/>
        <v>-7.3789999999999054</v>
      </c>
      <c r="N174" s="1">
        <v>1973.982</v>
      </c>
      <c r="O174" s="1">
        <v>910.50800000000004</v>
      </c>
      <c r="P174" s="1">
        <v>1333.845</v>
      </c>
      <c r="Q174" s="1">
        <v>615.88599999999997</v>
      </c>
      <c r="R174" s="2">
        <f t="shared" si="21"/>
        <v>-791.44475000000011</v>
      </c>
      <c r="S174">
        <f t="shared" si="28"/>
        <v>-9.0349999999998545</v>
      </c>
      <c r="T174" s="1">
        <v>1137.173</v>
      </c>
      <c r="U174" s="1">
        <v>675.25800000000004</v>
      </c>
      <c r="V174" s="1">
        <v>949.95399999999995</v>
      </c>
      <c r="W174" s="1">
        <v>768.31399999999996</v>
      </c>
      <c r="X174" s="2">
        <f t="shared" si="23"/>
        <v>-903.10075000000006</v>
      </c>
      <c r="Y174" s="6"/>
      <c r="Z174" s="7"/>
      <c r="AB174" s="6"/>
      <c r="AC174" s="8"/>
      <c r="AD174" s="2">
        <f t="shared" si="29"/>
        <v>0.4770000000003165</v>
      </c>
      <c r="AE174" s="2"/>
      <c r="AF174" s="2"/>
      <c r="AG174" s="2"/>
      <c r="AH174" s="2"/>
      <c r="AI174" s="2"/>
      <c r="AJ174" s="6"/>
      <c r="AK174" s="9"/>
      <c r="AL174" s="6"/>
      <c r="AM174" s="6"/>
      <c r="AN174" s="6"/>
      <c r="AO174" s="6"/>
      <c r="AP174" s="6"/>
      <c r="AQ174" s="8"/>
      <c r="AR174" s="8"/>
      <c r="AS174" s="6"/>
      <c r="AT174" s="8"/>
      <c r="AU174" s="6"/>
      <c r="AV174" s="7"/>
      <c r="AW174" s="7"/>
      <c r="AX174" s="7"/>
      <c r="AY174" s="7"/>
      <c r="BB174" s="6"/>
      <c r="BC174" s="6"/>
      <c r="BD174" s="6"/>
      <c r="BE174" s="6"/>
      <c r="BF174" s="6"/>
      <c r="BG174" s="6"/>
      <c r="BH174" s="6"/>
      <c r="BI174" s="6"/>
      <c r="BJ174" s="6"/>
      <c r="BK174" s="6"/>
      <c r="BL174" s="6"/>
      <c r="BM174" s="6"/>
      <c r="BN174" s="6"/>
      <c r="BO174" s="6"/>
      <c r="BP174" s="6"/>
      <c r="BQ174" s="6"/>
      <c r="BR174" s="6"/>
      <c r="BS174" s="6"/>
      <c r="BT174" s="8"/>
      <c r="BU174" s="6"/>
      <c r="BV174" s="6"/>
      <c r="BW174" s="6"/>
      <c r="BX174" s="8"/>
      <c r="BY174" s="6"/>
      <c r="BZ174" s="7"/>
      <c r="CA174" s="7"/>
      <c r="CB174" s="7"/>
      <c r="CC174" s="7"/>
      <c r="CD174" s="7"/>
      <c r="CE174" s="7"/>
    </row>
    <row r="175" spans="1:83" ht="14" x14ac:dyDescent="0.3">
      <c r="A175" s="2">
        <f t="shared" si="4"/>
        <v>86.5</v>
      </c>
      <c r="B175" s="2">
        <v>723.94799999999998</v>
      </c>
      <c r="C175" s="2">
        <v>631.46199999999999</v>
      </c>
      <c r="D175" s="2">
        <v>544.74199999999996</v>
      </c>
      <c r="E175" s="2">
        <v>693.36699999999996</v>
      </c>
      <c r="F175" s="2">
        <f t="shared" si="17"/>
        <v>-1351.6202499999999</v>
      </c>
      <c r="G175">
        <f t="shared" si="25"/>
        <v>-1.9765000000002146</v>
      </c>
      <c r="H175" s="1">
        <v>812.17100000000005</v>
      </c>
      <c r="I175" s="1">
        <v>719.96799999999996</v>
      </c>
      <c r="J175" s="1">
        <v>1078.0250000000001</v>
      </c>
      <c r="K175" s="1">
        <v>709.04200000000003</v>
      </c>
      <c r="L175" s="2">
        <f t="shared" si="26"/>
        <v>-1170.1985</v>
      </c>
      <c r="M175">
        <f t="shared" si="27"/>
        <v>2.3059999999995853</v>
      </c>
      <c r="N175" s="1">
        <v>1973.1179999999999</v>
      </c>
      <c r="O175" s="1">
        <v>912.33799999999997</v>
      </c>
      <c r="P175" s="1">
        <v>1331.2180000000001</v>
      </c>
      <c r="Q175" s="1">
        <v>613.827</v>
      </c>
      <c r="R175" s="2">
        <f t="shared" si="21"/>
        <v>-792.37474999999995</v>
      </c>
      <c r="S175">
        <f t="shared" si="28"/>
        <v>-8.0900000000001455</v>
      </c>
      <c r="T175" s="1">
        <v>1137.135</v>
      </c>
      <c r="U175" s="1">
        <v>674.55700000000002</v>
      </c>
      <c r="V175" s="1">
        <v>949.34400000000005</v>
      </c>
      <c r="W175" s="1">
        <v>768.73</v>
      </c>
      <c r="X175" s="2">
        <f t="shared" si="23"/>
        <v>-903.76575000000003</v>
      </c>
      <c r="Y175" s="6"/>
      <c r="Z175" s="7"/>
      <c r="AB175" s="6"/>
      <c r="AC175" s="8"/>
      <c r="AD175" s="2">
        <f t="shared" si="29"/>
        <v>-13.193000000000211</v>
      </c>
      <c r="AE175" s="2"/>
      <c r="AF175" s="2"/>
      <c r="AG175" s="2"/>
      <c r="AH175" s="2"/>
      <c r="AI175" s="2"/>
      <c r="AJ175" s="6"/>
      <c r="AK175" s="6"/>
      <c r="AL175" s="6"/>
      <c r="AM175" s="6"/>
      <c r="AN175" s="6"/>
      <c r="AO175" s="6"/>
      <c r="AP175" s="6"/>
      <c r="AQ175" s="8"/>
      <c r="AR175" s="8"/>
      <c r="AS175" s="6"/>
      <c r="AT175" s="8"/>
      <c r="AU175" s="6"/>
      <c r="AV175" s="7"/>
      <c r="AW175" s="7"/>
      <c r="AX175" s="7"/>
      <c r="AY175" s="7"/>
      <c r="BB175" s="6"/>
      <c r="BC175" s="6"/>
      <c r="BD175" s="6"/>
      <c r="BE175" s="6"/>
      <c r="BF175" s="6"/>
      <c r="BG175" s="6"/>
      <c r="BH175" s="6"/>
      <c r="BI175" s="6"/>
      <c r="BJ175" s="6"/>
      <c r="BK175" s="6"/>
      <c r="BL175" s="6"/>
      <c r="BM175" s="6"/>
      <c r="BN175" s="6"/>
      <c r="BO175" s="6"/>
      <c r="BP175" s="6"/>
      <c r="BQ175" s="6"/>
      <c r="BR175" s="6"/>
      <c r="BS175" s="6"/>
      <c r="BT175" s="8"/>
      <c r="BU175" s="6"/>
      <c r="BV175" s="6"/>
      <c r="BW175" s="6"/>
      <c r="BX175" s="8"/>
      <c r="BY175" s="6"/>
      <c r="BZ175" s="7"/>
      <c r="CA175" s="7"/>
      <c r="CB175" s="7"/>
      <c r="CC175" s="7"/>
      <c r="CD175" s="7"/>
      <c r="CE175" s="7"/>
    </row>
    <row r="176" spans="1:83" ht="14" x14ac:dyDescent="0.3">
      <c r="A176" s="2">
        <f t="shared" si="4"/>
        <v>87</v>
      </c>
      <c r="B176" s="2">
        <v>720.47500000000002</v>
      </c>
      <c r="C176" s="2">
        <v>628.71400000000006</v>
      </c>
      <c r="D176" s="2">
        <v>544.05499999999995</v>
      </c>
      <c r="E176" s="2">
        <v>690.53700000000003</v>
      </c>
      <c r="F176" s="2">
        <f t="shared" si="17"/>
        <v>-1354.05475</v>
      </c>
      <c r="G176">
        <f t="shared" si="25"/>
        <v>-2.0929999999998472</v>
      </c>
      <c r="H176" s="1">
        <v>811.84699999999998</v>
      </c>
      <c r="I176" s="1">
        <v>718.23699999999997</v>
      </c>
      <c r="J176" s="1">
        <v>1075.8009999999999</v>
      </c>
      <c r="K176" s="1">
        <v>698.56299999999999</v>
      </c>
      <c r="L176" s="2">
        <f t="shared" si="26"/>
        <v>-1173.8879999999999</v>
      </c>
      <c r="M176">
        <f t="shared" si="27"/>
        <v>-6.3579999999997199</v>
      </c>
      <c r="N176" s="1">
        <v>1964.9760000000001</v>
      </c>
      <c r="O176" s="1">
        <v>907.40499999999997</v>
      </c>
      <c r="P176" s="1">
        <v>1327.6220000000001</v>
      </c>
      <c r="Q176" s="1">
        <v>612.428</v>
      </c>
      <c r="R176" s="2">
        <f t="shared" si="21"/>
        <v>-796.89224999999988</v>
      </c>
      <c r="S176">
        <f t="shared" si="28"/>
        <v>-1.1485000000002401</v>
      </c>
      <c r="T176" s="1">
        <v>1146.433</v>
      </c>
      <c r="U176" s="1">
        <v>673.55200000000002</v>
      </c>
      <c r="V176" s="1">
        <v>946.17700000000002</v>
      </c>
      <c r="W176" s="1">
        <v>766.19200000000001</v>
      </c>
      <c r="X176" s="2">
        <f t="shared" si="23"/>
        <v>-903.52724999999987</v>
      </c>
      <c r="Y176" s="6"/>
      <c r="Z176" s="7"/>
      <c r="AB176" s="6"/>
      <c r="AC176" s="8"/>
      <c r="AD176" s="2">
        <f t="shared" si="29"/>
        <v>2.8419999999996435</v>
      </c>
      <c r="AE176" s="2"/>
      <c r="AF176" s="2"/>
      <c r="AG176" s="2"/>
      <c r="AH176" s="2"/>
      <c r="AI176" s="2"/>
      <c r="AJ176" s="6"/>
      <c r="AK176" s="6"/>
      <c r="AL176" s="6"/>
      <c r="AM176" s="6"/>
      <c r="AN176" s="6"/>
      <c r="AO176" s="6"/>
      <c r="AP176" s="6"/>
      <c r="AQ176" s="8"/>
      <c r="AR176" s="6"/>
      <c r="AS176" s="6"/>
      <c r="AT176" s="8"/>
      <c r="AU176" s="6"/>
      <c r="AV176" s="7"/>
      <c r="AW176" s="7"/>
      <c r="AX176" s="7"/>
      <c r="AY176" s="7"/>
      <c r="BB176" s="6"/>
      <c r="BC176" s="6"/>
      <c r="BD176" s="6"/>
      <c r="BE176" s="6"/>
      <c r="BF176" s="6"/>
      <c r="BG176" s="6"/>
      <c r="BH176" s="6"/>
      <c r="BI176" s="6"/>
      <c r="BJ176" s="6"/>
      <c r="BK176" s="6"/>
      <c r="BL176" s="6"/>
      <c r="BM176" s="6"/>
      <c r="BN176" s="6"/>
      <c r="BO176" s="6"/>
      <c r="BP176" s="6"/>
      <c r="BQ176" s="6"/>
      <c r="BR176" s="6"/>
      <c r="BS176" s="6"/>
      <c r="BT176" s="8"/>
      <c r="BU176" s="6"/>
      <c r="BV176" s="6"/>
      <c r="BW176" s="6"/>
      <c r="BX176" s="8"/>
      <c r="BY176" s="6"/>
      <c r="BZ176" s="7"/>
      <c r="CA176" s="7"/>
      <c r="CB176" s="7"/>
      <c r="CC176" s="7"/>
      <c r="CD176" s="7"/>
      <c r="CE176" s="7"/>
    </row>
    <row r="177" spans="1:83" ht="14" x14ac:dyDescent="0.3">
      <c r="A177" s="2">
        <f t="shared" si="4"/>
        <v>87.5</v>
      </c>
      <c r="B177" s="2">
        <v>720.43100000000004</v>
      </c>
      <c r="C177" s="2">
        <v>629.08699999999999</v>
      </c>
      <c r="D177" s="2">
        <v>543.56200000000001</v>
      </c>
      <c r="E177" s="2">
        <v>686.74800000000005</v>
      </c>
      <c r="F177" s="2">
        <f t="shared" si="17"/>
        <v>-1355.0430000000001</v>
      </c>
      <c r="G177">
        <f t="shared" si="25"/>
        <v>-0.40650000000005093</v>
      </c>
      <c r="H177" s="1">
        <v>811.20399999999995</v>
      </c>
      <c r="I177" s="10">
        <v>716.86699999999996</v>
      </c>
      <c r="J177" s="1">
        <v>1073.2909999999999</v>
      </c>
      <c r="K177" s="1">
        <v>707.69799999999998</v>
      </c>
      <c r="L177" s="2">
        <f t="shared" si="26"/>
        <v>-1172.7350000000001</v>
      </c>
      <c r="M177">
        <f t="shared" si="27"/>
        <v>4.5605000000000473</v>
      </c>
      <c r="N177" s="1">
        <v>1955.4939999999999</v>
      </c>
      <c r="O177" s="1">
        <v>906.16899999999998</v>
      </c>
      <c r="P177" s="1">
        <v>1322.5650000000001</v>
      </c>
      <c r="Q177" s="1">
        <v>612.02300000000002</v>
      </c>
      <c r="R177" s="2">
        <f t="shared" si="21"/>
        <v>-800.93724999999995</v>
      </c>
      <c r="S177">
        <f t="shared" si="28"/>
        <v>-5.2894999999998618</v>
      </c>
      <c r="T177" s="1">
        <v>1128.1969999999999</v>
      </c>
      <c r="U177" s="1">
        <v>672.09299999999996</v>
      </c>
      <c r="V177" s="1">
        <v>943.56100000000004</v>
      </c>
      <c r="W177" s="1">
        <v>764.19500000000005</v>
      </c>
      <c r="X177" s="2">
        <f t="shared" si="23"/>
        <v>-910.12374999999997</v>
      </c>
      <c r="Y177" s="6"/>
      <c r="Z177" s="7"/>
      <c r="AB177" s="6"/>
      <c r="AC177" s="8"/>
      <c r="AD177" s="2">
        <f t="shared" si="29"/>
        <v>-4.245499999999538</v>
      </c>
      <c r="AE177" s="2"/>
      <c r="AF177" s="2"/>
      <c r="AG177" s="2"/>
      <c r="AH177" s="2"/>
      <c r="AI177" s="2"/>
      <c r="AJ177" s="6"/>
      <c r="AK177" s="6"/>
      <c r="AL177" s="6"/>
      <c r="AM177" s="6"/>
      <c r="AN177" s="6"/>
      <c r="AO177" s="6"/>
      <c r="AP177" s="6"/>
      <c r="AQ177" s="8"/>
      <c r="AR177" s="6"/>
      <c r="AS177" s="6"/>
      <c r="AT177" s="8"/>
      <c r="AU177" s="6"/>
      <c r="AV177" s="7"/>
      <c r="AW177" s="7"/>
      <c r="AX177" s="7"/>
      <c r="AY177" s="7"/>
      <c r="BB177" s="6"/>
      <c r="BC177" s="6"/>
      <c r="BD177" s="6"/>
      <c r="BE177" s="6"/>
      <c r="BF177" s="6"/>
      <c r="BG177" s="6"/>
      <c r="BH177" s="6"/>
      <c r="BI177" s="6"/>
      <c r="BJ177" s="6"/>
      <c r="BK177" s="6"/>
      <c r="BL177" s="6"/>
      <c r="BM177" s="6"/>
      <c r="BN177" s="6"/>
      <c r="BO177" s="6"/>
      <c r="BP177" s="6"/>
      <c r="BQ177" s="6"/>
      <c r="BR177" s="6"/>
      <c r="BS177" s="6"/>
      <c r="BT177" s="8"/>
      <c r="BU177" s="6"/>
      <c r="BV177" s="6"/>
      <c r="BW177" s="6"/>
      <c r="BX177" s="8"/>
      <c r="BY177" s="6"/>
      <c r="BZ177" s="7"/>
      <c r="CC177" s="7"/>
      <c r="CD177" s="7"/>
      <c r="CE177" s="7"/>
    </row>
    <row r="178" spans="1:83" ht="14" x14ac:dyDescent="0.3">
      <c r="A178" s="2">
        <f t="shared" si="4"/>
        <v>88</v>
      </c>
      <c r="B178" s="2">
        <v>719.33199999999999</v>
      </c>
      <c r="C178" s="2">
        <v>628.02700000000004</v>
      </c>
      <c r="D178" s="2">
        <v>542.50800000000004</v>
      </c>
      <c r="E178" s="2">
        <v>685.77499999999998</v>
      </c>
      <c r="F178" s="2">
        <f t="shared" si="17"/>
        <v>-1356.0895</v>
      </c>
      <c r="G178">
        <f t="shared" si="25"/>
        <v>-2.9939999999996871</v>
      </c>
      <c r="H178" s="1">
        <v>810.13099999999997</v>
      </c>
      <c r="I178" s="1">
        <v>716.41399999999999</v>
      </c>
      <c r="J178" s="1">
        <v>1072.018</v>
      </c>
      <c r="K178" s="1">
        <v>697.78099999999995</v>
      </c>
      <c r="L178" s="2">
        <f t="shared" si="26"/>
        <v>-1175.914</v>
      </c>
      <c r="M178">
        <f t="shared" si="27"/>
        <v>-10.70450000000028</v>
      </c>
      <c r="N178" s="1">
        <v>1954.0519999999999</v>
      </c>
      <c r="O178" s="1">
        <v>907.10400000000004</v>
      </c>
      <c r="P178" s="1">
        <v>1320.0119999999999</v>
      </c>
      <c r="Q178" s="1">
        <v>612.78599999999994</v>
      </c>
      <c r="R178" s="2">
        <f t="shared" si="21"/>
        <v>-801.51150000000007</v>
      </c>
      <c r="S178">
        <f t="shared" si="28"/>
        <v>-7.1829999999999927</v>
      </c>
      <c r="T178" s="1">
        <v>1129.8789999999999</v>
      </c>
      <c r="U178" s="1">
        <v>673.31399999999996</v>
      </c>
      <c r="V178" s="1">
        <v>944.34100000000001</v>
      </c>
      <c r="W178" s="1">
        <v>764.30200000000002</v>
      </c>
      <c r="X178" s="2">
        <f t="shared" si="23"/>
        <v>-908.70275000000015</v>
      </c>
      <c r="Y178" s="6"/>
      <c r="Z178" s="7"/>
      <c r="AB178" s="6"/>
      <c r="AC178" s="8"/>
      <c r="AD178" s="2">
        <f t="shared" si="29"/>
        <v>-5.7325000000000728</v>
      </c>
      <c r="AE178" s="2"/>
      <c r="AF178" s="2"/>
      <c r="AG178" s="2"/>
      <c r="AH178" s="2"/>
      <c r="AI178" s="2"/>
      <c r="AJ178" s="6"/>
      <c r="AK178" s="6"/>
      <c r="AL178" s="6"/>
      <c r="AM178" s="6"/>
      <c r="AN178" s="6"/>
      <c r="AO178" s="6"/>
      <c r="AP178" s="6"/>
      <c r="AQ178" s="8"/>
      <c r="AR178" s="6"/>
      <c r="AS178" s="6"/>
      <c r="AT178" s="8"/>
      <c r="AU178" s="6"/>
      <c r="AV178" s="7"/>
      <c r="AW178" s="7"/>
      <c r="AX178" s="7"/>
      <c r="AY178" s="7"/>
      <c r="BB178" s="6"/>
      <c r="BC178" s="6"/>
      <c r="BD178" s="6"/>
      <c r="BE178" s="6"/>
      <c r="BF178" s="6"/>
      <c r="BG178" s="6"/>
      <c r="BH178" s="6"/>
      <c r="BI178" s="6"/>
      <c r="BJ178" s="6"/>
      <c r="BK178" s="6"/>
      <c r="BL178" s="6"/>
      <c r="BM178" s="6"/>
      <c r="BN178" s="6"/>
      <c r="BO178" s="6"/>
      <c r="BP178" s="6"/>
      <c r="BQ178" s="6"/>
      <c r="BR178" s="6"/>
      <c r="BS178" s="6"/>
      <c r="BT178" s="8"/>
      <c r="BU178" s="6"/>
      <c r="BV178" s="6"/>
      <c r="BW178" s="6"/>
      <c r="BX178" s="8"/>
      <c r="BY178" s="6"/>
      <c r="BZ178" s="7"/>
      <c r="CC178" s="7"/>
      <c r="CD178" s="7"/>
      <c r="CE178" s="7"/>
    </row>
    <row r="179" spans="1:83" ht="14" x14ac:dyDescent="0.3">
      <c r="A179" s="2">
        <f t="shared" si="4"/>
        <v>88.5</v>
      </c>
      <c r="B179" s="2">
        <v>718.79399999999998</v>
      </c>
      <c r="C179" s="2">
        <v>628.726</v>
      </c>
      <c r="D179" s="2">
        <v>543.59500000000003</v>
      </c>
      <c r="E179" s="2">
        <v>683.71400000000006</v>
      </c>
      <c r="F179" s="2">
        <f t="shared" si="17"/>
        <v>-1356.2927500000001</v>
      </c>
      <c r="G179">
        <f t="shared" si="25"/>
        <v>-2.0704999999998108</v>
      </c>
      <c r="H179" s="1">
        <v>812.46100000000001</v>
      </c>
      <c r="I179" s="1">
        <v>715.76599999999996</v>
      </c>
      <c r="J179" s="1">
        <v>1070.1759999999999</v>
      </c>
      <c r="K179" s="1">
        <v>707.06200000000001</v>
      </c>
      <c r="L179" s="2">
        <f t="shared" si="26"/>
        <v>-1173.63375</v>
      </c>
      <c r="M179">
        <f t="shared" si="27"/>
        <v>2.7384999999999309</v>
      </c>
      <c r="N179" s="1">
        <v>1950.4290000000001</v>
      </c>
      <c r="O179" s="1">
        <v>904.74199999999996</v>
      </c>
      <c r="P179" s="1">
        <v>1316.8340000000001</v>
      </c>
      <c r="Q179" s="1">
        <v>611.37</v>
      </c>
      <c r="R179" s="2">
        <f t="shared" si="21"/>
        <v>-804.15625</v>
      </c>
      <c r="S179">
        <f t="shared" si="28"/>
        <v>-7.5375000000003638</v>
      </c>
      <c r="T179" s="1">
        <v>1126.6320000000001</v>
      </c>
      <c r="U179" s="1">
        <v>672.20799999999997</v>
      </c>
      <c r="V179" s="1">
        <v>942.82500000000005</v>
      </c>
      <c r="W179" s="1">
        <v>762.79100000000005</v>
      </c>
      <c r="X179" s="2">
        <f t="shared" si="23"/>
        <v>-910.82549999999992</v>
      </c>
      <c r="Y179" s="6"/>
      <c r="Z179" s="7"/>
      <c r="AB179" s="6"/>
      <c r="AC179" s="8"/>
      <c r="AD179" s="2">
        <f t="shared" si="29"/>
        <v>-1.3320000000003347</v>
      </c>
      <c r="AE179" s="2"/>
      <c r="AF179" s="2"/>
      <c r="AG179" s="3"/>
      <c r="AH179" s="2"/>
      <c r="AI179" s="2"/>
      <c r="AJ179" s="6"/>
      <c r="AK179" s="6"/>
      <c r="AL179" s="6"/>
      <c r="AM179" s="6"/>
      <c r="AN179" s="6"/>
      <c r="AO179" s="6"/>
      <c r="AP179" s="6"/>
      <c r="AQ179" s="8"/>
      <c r="AR179" s="6"/>
      <c r="AS179" s="6"/>
      <c r="AT179" s="8"/>
      <c r="AU179" s="6"/>
      <c r="AV179" s="7"/>
      <c r="AW179" s="7"/>
      <c r="AX179" s="7"/>
      <c r="AY179" s="7"/>
      <c r="BB179" s="6"/>
      <c r="BC179" s="6"/>
      <c r="BD179" s="6"/>
      <c r="BE179" s="6"/>
      <c r="BF179" s="6"/>
      <c r="BG179" s="6"/>
      <c r="BH179" s="6"/>
      <c r="BI179" s="6"/>
      <c r="BJ179" s="6"/>
      <c r="BK179" s="6"/>
      <c r="BL179" s="6"/>
      <c r="BM179" s="6"/>
      <c r="BN179" s="9"/>
      <c r="BO179" s="6"/>
      <c r="BP179" s="6"/>
      <c r="BQ179" s="6"/>
      <c r="BR179" s="6"/>
      <c r="BS179" s="6"/>
      <c r="BT179" s="8"/>
      <c r="BU179" s="6"/>
      <c r="BV179" s="6"/>
      <c r="BW179" s="6"/>
      <c r="BX179" s="8"/>
      <c r="BY179" s="6"/>
      <c r="BZ179" s="7"/>
      <c r="CC179" s="7"/>
      <c r="CD179" s="7"/>
      <c r="CE179" s="7"/>
    </row>
    <row r="180" spans="1:83" ht="14" x14ac:dyDescent="0.3">
      <c r="A180" s="2">
        <f t="shared" si="4"/>
        <v>89</v>
      </c>
      <c r="B180" s="2">
        <v>716.3</v>
      </c>
      <c r="C180" s="2">
        <v>626.24599999999998</v>
      </c>
      <c r="D180" s="2">
        <v>542.98500000000001</v>
      </c>
      <c r="E180" s="2">
        <v>683.31</v>
      </c>
      <c r="F180" s="2">
        <f t="shared" si="17"/>
        <v>-1357.7897499999999</v>
      </c>
      <c r="G180">
        <f t="shared" si="25"/>
        <v>-1.8360000000002401</v>
      </c>
      <c r="H180" s="1">
        <v>807.35199999999998</v>
      </c>
      <c r="I180" s="1">
        <v>713.17499999999995</v>
      </c>
      <c r="J180" s="1">
        <v>1066.8689999999999</v>
      </c>
      <c r="K180" s="1">
        <v>696.66</v>
      </c>
      <c r="L180" s="2">
        <f t="shared" si="26"/>
        <v>-1178.9860000000001</v>
      </c>
      <c r="M180">
        <f t="shared" si="27"/>
        <v>-5.1210000000000946</v>
      </c>
      <c r="N180" s="1">
        <v>1940.26</v>
      </c>
      <c r="O180" s="1">
        <v>905.26400000000001</v>
      </c>
      <c r="P180" s="1">
        <v>1313.3779999999999</v>
      </c>
      <c r="Q180" s="1">
        <v>610.10699999999997</v>
      </c>
      <c r="R180" s="2">
        <f t="shared" si="21"/>
        <v>-807.74775</v>
      </c>
      <c r="S180">
        <f t="shared" si="28"/>
        <v>-2.3404999999997926</v>
      </c>
      <c r="T180" s="1">
        <v>1122.711</v>
      </c>
      <c r="U180" s="1">
        <v>670.57399999999996</v>
      </c>
      <c r="V180" s="1">
        <v>940.68700000000001</v>
      </c>
      <c r="W180" s="1">
        <v>760.00300000000004</v>
      </c>
      <c r="X180" s="2">
        <f t="shared" si="23"/>
        <v>-913.69174999999996</v>
      </c>
      <c r="Y180" s="6"/>
      <c r="Z180" s="7"/>
      <c r="AB180" s="6"/>
      <c r="AC180" s="8"/>
      <c r="AD180" s="2">
        <f t="shared" si="29"/>
        <v>-4.5989999999997053</v>
      </c>
      <c r="AE180" s="2"/>
      <c r="AF180" s="2"/>
      <c r="AG180" s="2"/>
      <c r="AH180" s="2"/>
      <c r="AI180" s="2"/>
      <c r="AJ180" s="6"/>
      <c r="AK180" s="6"/>
      <c r="AL180" s="6"/>
      <c r="AM180" s="6"/>
      <c r="AN180" s="6"/>
      <c r="AO180" s="6"/>
      <c r="AP180" s="6"/>
      <c r="AQ180" s="8"/>
      <c r="AR180" s="6"/>
      <c r="AS180" s="6"/>
      <c r="AT180" s="8"/>
      <c r="AU180" s="6"/>
      <c r="AV180" s="7"/>
      <c r="AW180" s="7"/>
      <c r="AX180" s="7"/>
      <c r="AY180" s="7"/>
      <c r="BB180" s="6"/>
      <c r="BC180" s="6"/>
      <c r="BD180" s="6"/>
      <c r="BE180" s="6"/>
      <c r="BF180" s="6"/>
      <c r="BG180" s="6"/>
      <c r="BH180" s="6"/>
      <c r="BI180" s="6"/>
      <c r="BJ180" s="6"/>
      <c r="BK180" s="6"/>
      <c r="BL180" s="6"/>
      <c r="BM180" s="6"/>
      <c r="BN180" s="6"/>
      <c r="BO180" s="6"/>
      <c r="BP180" s="6"/>
      <c r="BQ180" s="6"/>
      <c r="BR180" s="6"/>
      <c r="BS180" s="6"/>
      <c r="BT180" s="8"/>
      <c r="BU180" s="6"/>
      <c r="BV180" s="6"/>
      <c r="BW180" s="6"/>
      <c r="BX180" s="8"/>
      <c r="BY180" s="6"/>
      <c r="BZ180" s="7"/>
      <c r="CC180" s="7"/>
      <c r="CD180" s="7"/>
      <c r="CE180" s="7"/>
    </row>
    <row r="181" spans="1:83" ht="14" x14ac:dyDescent="0.3">
      <c r="A181" s="2">
        <f t="shared" si="4"/>
        <v>89.5</v>
      </c>
      <c r="B181" s="2">
        <v>714.154</v>
      </c>
      <c r="C181" s="2">
        <v>626.65700000000004</v>
      </c>
      <c r="D181" s="2">
        <v>542.61400000000003</v>
      </c>
      <c r="E181" s="2">
        <v>681.27499999999998</v>
      </c>
      <c r="F181" s="2">
        <f t="shared" si="17"/>
        <v>-1358.8249999999998</v>
      </c>
      <c r="G181">
        <f t="shared" si="25"/>
        <v>-1.2815000000000509</v>
      </c>
      <c r="H181" s="1">
        <v>807.45899999999995</v>
      </c>
      <c r="I181" s="1">
        <v>711.971</v>
      </c>
      <c r="J181" s="1">
        <v>1064.894</v>
      </c>
      <c r="K181" s="1">
        <v>705.20899999999995</v>
      </c>
      <c r="L181" s="2">
        <f t="shared" si="26"/>
        <v>-1177.6167500000001</v>
      </c>
      <c r="M181">
        <f t="shared" si="27"/>
        <v>-2.0069999999996071</v>
      </c>
      <c r="N181" s="1">
        <v>1936.8320000000001</v>
      </c>
      <c r="O181" s="1">
        <v>898.96199999999999</v>
      </c>
      <c r="P181" s="1">
        <v>1308.0619999999999</v>
      </c>
      <c r="Q181" s="1">
        <v>610.07799999999997</v>
      </c>
      <c r="R181" s="2">
        <f t="shared" si="21"/>
        <v>-811.51650000000018</v>
      </c>
      <c r="S181">
        <f t="shared" si="28"/>
        <v>-10.054500000000189</v>
      </c>
      <c r="T181" s="1">
        <v>1124.779</v>
      </c>
      <c r="U181" s="1">
        <v>669.32899999999995</v>
      </c>
      <c r="V181" s="1">
        <v>939.56600000000003</v>
      </c>
      <c r="W181" s="1">
        <v>760.22699999999998</v>
      </c>
      <c r="X181" s="2">
        <f t="shared" si="23"/>
        <v>-914.35775000000012</v>
      </c>
      <c r="Y181" s="6"/>
      <c r="Z181" s="7"/>
      <c r="AB181" s="6"/>
      <c r="AC181" s="8"/>
      <c r="AD181" s="2">
        <f t="shared" si="29"/>
        <v>-4.137000000000171</v>
      </c>
      <c r="AE181" s="2"/>
      <c r="AF181" s="2"/>
      <c r="AG181" s="2"/>
      <c r="AH181" s="2"/>
      <c r="AI181" s="2"/>
      <c r="AJ181" s="6"/>
      <c r="AK181" s="9"/>
      <c r="AL181" s="6"/>
      <c r="AM181" s="6"/>
      <c r="AN181" s="6"/>
      <c r="AO181" s="6"/>
      <c r="AP181" s="6"/>
      <c r="AQ181" s="8"/>
      <c r="AR181" s="6"/>
      <c r="AS181" s="6"/>
      <c r="AT181" s="8"/>
      <c r="AU181" s="6"/>
      <c r="AV181" s="7"/>
      <c r="AW181" s="7"/>
      <c r="AX181" s="7"/>
      <c r="AY181" s="7"/>
      <c r="BB181" s="6"/>
      <c r="BC181" s="6"/>
      <c r="BD181" s="6"/>
      <c r="BE181" s="6"/>
      <c r="BF181" s="6"/>
      <c r="BG181" s="6"/>
      <c r="BH181" s="6"/>
      <c r="BI181" s="6"/>
      <c r="BJ181" s="6"/>
      <c r="BK181" s="9"/>
      <c r="BL181" s="6"/>
      <c r="BM181" s="6"/>
      <c r="BN181" s="6"/>
      <c r="BO181" s="6"/>
      <c r="BP181" s="6"/>
      <c r="BQ181" s="6"/>
      <c r="BR181" s="6"/>
      <c r="BS181" s="6"/>
      <c r="BT181" s="8"/>
      <c r="BU181" s="6"/>
      <c r="BV181" s="6"/>
      <c r="BW181" s="6"/>
      <c r="BX181" s="8"/>
      <c r="BY181" s="6"/>
      <c r="BZ181" s="7"/>
      <c r="CC181" s="7"/>
      <c r="CD181" s="7"/>
      <c r="CE181" s="7"/>
    </row>
    <row r="182" spans="1:83" ht="14" x14ac:dyDescent="0.3">
      <c r="A182" s="2">
        <f t="shared" si="4"/>
        <v>90</v>
      </c>
      <c r="B182" s="2">
        <v>714.62599999999998</v>
      </c>
      <c r="C182" s="2">
        <v>624.553</v>
      </c>
      <c r="D182" s="2">
        <v>541.47799999999995</v>
      </c>
      <c r="E182" s="2">
        <v>680.37099999999998</v>
      </c>
      <c r="F182" s="2">
        <f t="shared" si="17"/>
        <v>-1359.7429999999999</v>
      </c>
      <c r="G182">
        <f t="shared" si="25"/>
        <v>-2.8330000000000837</v>
      </c>
      <c r="H182" s="1">
        <v>805.84799999999996</v>
      </c>
      <c r="I182" s="1">
        <v>712.78</v>
      </c>
      <c r="J182" s="1">
        <v>1065.098</v>
      </c>
      <c r="K182" s="1">
        <v>695.56500000000005</v>
      </c>
      <c r="L182" s="2">
        <f t="shared" si="26"/>
        <v>-1180.1772500000002</v>
      </c>
      <c r="M182">
        <f t="shared" si="27"/>
        <v>-3.1730000000002292</v>
      </c>
      <c r="N182" s="1">
        <v>1931.7339999999999</v>
      </c>
      <c r="O182" s="1">
        <v>901.42499999999995</v>
      </c>
      <c r="P182" s="1">
        <v>1307.183</v>
      </c>
      <c r="Q182" s="1">
        <v>608.91099999999994</v>
      </c>
      <c r="R182" s="2">
        <f t="shared" si="21"/>
        <v>-812.68675000000007</v>
      </c>
      <c r="S182">
        <f t="shared" si="28"/>
        <v>-4.6409999999996217</v>
      </c>
      <c r="T182" s="1">
        <v>1122.673</v>
      </c>
      <c r="U182" s="1">
        <v>668.32600000000002</v>
      </c>
      <c r="V182" s="1">
        <v>937.02300000000002</v>
      </c>
      <c r="W182" s="1">
        <v>757.52499999999998</v>
      </c>
      <c r="X182" s="2">
        <f t="shared" si="23"/>
        <v>-916.65724999999998</v>
      </c>
      <c r="Y182" s="6"/>
      <c r="Z182" s="7"/>
      <c r="AB182" s="6"/>
      <c r="AC182" s="8"/>
      <c r="AD182" s="2">
        <f t="shared" si="29"/>
        <v>-3.7150000000001455</v>
      </c>
      <c r="AE182" s="3"/>
      <c r="AF182" s="2"/>
      <c r="AG182" s="2"/>
      <c r="AH182" s="2"/>
      <c r="AI182" s="2"/>
      <c r="AJ182" s="6"/>
      <c r="AK182" s="6"/>
      <c r="AL182" s="6"/>
      <c r="AM182" s="6"/>
      <c r="AN182" s="6"/>
      <c r="AO182" s="6"/>
      <c r="AP182" s="6"/>
      <c r="AQ182" s="8"/>
      <c r="AR182" s="6"/>
      <c r="AS182" s="6"/>
      <c r="AT182" s="8"/>
      <c r="AU182" s="6"/>
      <c r="AV182" s="7"/>
      <c r="AW182" s="7"/>
      <c r="AX182" s="7"/>
      <c r="AY182" s="7"/>
      <c r="BB182" s="6"/>
      <c r="BC182" s="6"/>
      <c r="BD182" s="6"/>
      <c r="BE182" s="6"/>
      <c r="BF182" s="6"/>
      <c r="BG182" s="6"/>
      <c r="BH182" s="6"/>
      <c r="BI182" s="6"/>
      <c r="BJ182" s="6"/>
      <c r="BK182" s="6"/>
      <c r="BL182" s="6"/>
      <c r="BM182" s="6"/>
      <c r="BN182" s="6"/>
      <c r="BO182" s="6"/>
      <c r="BP182" s="6"/>
      <c r="BQ182" s="6"/>
      <c r="BR182" s="6"/>
      <c r="BS182" s="6"/>
      <c r="BT182" s="8"/>
      <c r="BU182" s="6"/>
      <c r="BV182" s="6"/>
      <c r="BW182" s="6"/>
      <c r="BX182" s="8"/>
      <c r="BY182" s="6"/>
      <c r="BZ182" s="7"/>
      <c r="CC182" s="7"/>
      <c r="CD182" s="7"/>
      <c r="CE182" s="7"/>
    </row>
    <row r="183" spans="1:83" ht="14" x14ac:dyDescent="0.3">
      <c r="A183" s="2">
        <f t="shared" si="4"/>
        <v>90.5</v>
      </c>
      <c r="B183" s="2">
        <v>714.64300000000003</v>
      </c>
      <c r="C183" s="2">
        <v>623.15599999999995</v>
      </c>
      <c r="D183" s="2">
        <v>541.10900000000004</v>
      </c>
      <c r="E183" s="2">
        <v>679.55700000000002</v>
      </c>
      <c r="F183" s="2">
        <f t="shared" si="17"/>
        <v>-1360.38375</v>
      </c>
      <c r="G183">
        <f t="shared" si="25"/>
        <v>-2.9800000000000182</v>
      </c>
      <c r="H183" s="1">
        <v>805.05100000000004</v>
      </c>
      <c r="I183" s="1">
        <v>703.93</v>
      </c>
      <c r="J183" s="1">
        <v>1062.0029999999999</v>
      </c>
      <c r="K183" s="1">
        <v>704.29300000000001</v>
      </c>
      <c r="L183" s="2">
        <f t="shared" si="26"/>
        <v>-1181.18075</v>
      </c>
      <c r="M183">
        <f t="shared" si="27"/>
        <v>1.5700000000001637</v>
      </c>
      <c r="N183" s="1">
        <v>1923.509</v>
      </c>
      <c r="O183" s="1">
        <v>896.346</v>
      </c>
      <c r="P183" s="1">
        <v>1301.4369999999999</v>
      </c>
      <c r="Q183" s="1">
        <v>607.85199999999998</v>
      </c>
      <c r="R183" s="2">
        <f t="shared" si="21"/>
        <v>-817.71400000000017</v>
      </c>
      <c r="S183">
        <f t="shared" si="28"/>
        <v>-6.69399999999996</v>
      </c>
      <c r="T183" s="1">
        <v>1120.3589999999999</v>
      </c>
      <c r="U183" s="1">
        <v>666.61199999999997</v>
      </c>
      <c r="V183" s="1">
        <v>935.75699999999995</v>
      </c>
      <c r="W183" s="1">
        <v>755.70899999999995</v>
      </c>
      <c r="X183" s="2">
        <f t="shared" si="23"/>
        <v>-918.72575000000006</v>
      </c>
      <c r="Y183" s="6"/>
      <c r="Z183" s="7"/>
      <c r="AB183" s="6"/>
      <c r="AC183" s="8"/>
      <c r="AD183" s="2">
        <f t="shared" si="29"/>
        <v>-6.9564999999997781</v>
      </c>
      <c r="AE183" s="2"/>
      <c r="AF183" s="2"/>
      <c r="AG183" s="2"/>
      <c r="AH183" s="2"/>
      <c r="AI183" s="2"/>
      <c r="AJ183" s="6"/>
      <c r="AK183" s="6"/>
      <c r="AL183" s="6"/>
      <c r="AM183" s="6"/>
      <c r="AN183" s="6"/>
      <c r="AO183" s="6"/>
      <c r="AP183" s="6"/>
      <c r="AQ183" s="8"/>
      <c r="AR183" s="6"/>
      <c r="AS183" s="6"/>
      <c r="AT183" s="12"/>
      <c r="AU183" s="6"/>
      <c r="AV183" s="7"/>
      <c r="AW183" s="7"/>
      <c r="AX183" s="7"/>
      <c r="AY183" s="7"/>
      <c r="BB183" s="6"/>
      <c r="BC183" s="6"/>
      <c r="BD183" s="6"/>
      <c r="BE183" s="6"/>
      <c r="BF183" s="6"/>
      <c r="BG183" s="6"/>
      <c r="BH183" s="6"/>
      <c r="BI183" s="6"/>
      <c r="BJ183" s="6"/>
      <c r="BK183" s="6"/>
      <c r="BL183" s="6"/>
      <c r="BM183" s="6"/>
      <c r="BN183" s="6"/>
      <c r="BO183" s="6"/>
      <c r="BP183" s="6"/>
      <c r="BQ183" s="6"/>
      <c r="BR183" s="6"/>
      <c r="BS183" s="6"/>
      <c r="BT183" s="12"/>
      <c r="BU183" s="6"/>
      <c r="BV183" s="6"/>
      <c r="BW183" s="9"/>
      <c r="BX183" s="8"/>
      <c r="BY183" s="6"/>
      <c r="BZ183" s="7"/>
      <c r="CC183" s="7"/>
      <c r="CD183" s="7"/>
      <c r="CE183" s="7"/>
    </row>
    <row r="184" spans="1:83" ht="14" x14ac:dyDescent="0.3">
      <c r="A184" s="2">
        <f t="shared" si="4"/>
        <v>91</v>
      </c>
      <c r="B184" s="2">
        <v>712.33500000000004</v>
      </c>
      <c r="C184" s="2">
        <v>622.62800000000004</v>
      </c>
      <c r="D184" s="2">
        <v>540.77800000000002</v>
      </c>
      <c r="E184" s="2">
        <v>677.05799999999999</v>
      </c>
      <c r="F184" s="2">
        <f t="shared" si="17"/>
        <v>-1361.80025</v>
      </c>
      <c r="G184">
        <f t="shared" si="25"/>
        <v>-1.7394999999996799</v>
      </c>
      <c r="H184" s="1">
        <v>802.77700000000004</v>
      </c>
      <c r="I184" s="1">
        <v>709.97</v>
      </c>
      <c r="J184" s="1">
        <v>1059.5239999999999</v>
      </c>
      <c r="K184" s="1">
        <v>696.66</v>
      </c>
      <c r="L184" s="2">
        <f t="shared" si="26"/>
        <v>-1182.7672500000001</v>
      </c>
      <c r="M184">
        <f t="shared" si="27"/>
        <v>-6.5304999999998472</v>
      </c>
      <c r="N184" s="1">
        <v>1921.893</v>
      </c>
      <c r="O184" s="1">
        <v>894.33399999999995</v>
      </c>
      <c r="P184" s="1">
        <v>1297.2270000000001</v>
      </c>
      <c r="Q184" s="1">
        <v>606.40800000000002</v>
      </c>
      <c r="R184" s="2">
        <f t="shared" si="21"/>
        <v>-820.03449999999998</v>
      </c>
      <c r="S184">
        <f t="shared" si="28"/>
        <v>-6.9144999999998618</v>
      </c>
      <c r="T184" s="1">
        <v>1118.0350000000001</v>
      </c>
      <c r="U184" s="1">
        <v>665.69899999999996</v>
      </c>
      <c r="V184" s="1">
        <v>934.11699999999996</v>
      </c>
      <c r="W184" s="1">
        <v>754.58799999999997</v>
      </c>
      <c r="X184" s="2">
        <f t="shared" si="23"/>
        <v>-920.58325000000013</v>
      </c>
      <c r="Y184" s="6"/>
      <c r="Z184" s="7"/>
      <c r="AB184" s="6"/>
      <c r="AC184" s="8"/>
      <c r="AD184" s="2">
        <f t="shared" si="29"/>
        <v>0.4839999999999236</v>
      </c>
      <c r="AE184" s="2"/>
      <c r="AF184" s="2"/>
      <c r="AG184" s="3"/>
      <c r="AH184" s="2"/>
      <c r="AI184" s="2"/>
      <c r="AJ184" s="6"/>
      <c r="AK184" s="6"/>
      <c r="AL184" s="6"/>
      <c r="AM184" s="6"/>
      <c r="AN184" s="6"/>
      <c r="AO184" s="6"/>
      <c r="AP184" s="6"/>
      <c r="AQ184" s="8"/>
      <c r="AR184" s="6"/>
      <c r="AS184" s="6"/>
      <c r="AT184" s="12"/>
      <c r="AU184" s="6"/>
      <c r="AV184" s="7"/>
      <c r="AW184" s="7"/>
      <c r="AX184" s="7"/>
      <c r="AY184" s="7"/>
      <c r="BB184" s="6"/>
      <c r="BC184" s="6"/>
      <c r="BD184" s="6"/>
      <c r="BE184" s="6"/>
      <c r="BF184" s="6"/>
      <c r="BG184" s="6"/>
      <c r="BH184" s="6"/>
      <c r="BI184" s="6"/>
      <c r="BJ184" s="6"/>
      <c r="BK184" s="6"/>
      <c r="BL184" s="6"/>
      <c r="BM184" s="6"/>
      <c r="BN184" s="6"/>
      <c r="BO184" s="6"/>
      <c r="BP184" s="6"/>
      <c r="BQ184" s="6"/>
      <c r="BR184" s="6"/>
      <c r="BS184" s="6"/>
      <c r="BT184" s="12"/>
      <c r="BU184" s="6"/>
      <c r="BV184" s="6"/>
      <c r="BW184" s="6"/>
      <c r="BX184" s="12"/>
      <c r="BY184" s="6"/>
      <c r="BZ184" s="7"/>
      <c r="CC184" s="7"/>
      <c r="CD184" s="7"/>
      <c r="CE184" s="7"/>
    </row>
    <row r="185" spans="1:83" ht="14" x14ac:dyDescent="0.3">
      <c r="A185" s="2">
        <f t="shared" si="4"/>
        <v>91.5</v>
      </c>
      <c r="B185" s="2">
        <v>710.88400000000001</v>
      </c>
      <c r="C185" s="2">
        <v>620.74900000000002</v>
      </c>
      <c r="D185" s="2">
        <v>539.74300000000005</v>
      </c>
      <c r="E185" s="2">
        <v>675.46299999999997</v>
      </c>
      <c r="F185" s="2">
        <f t="shared" si="17"/>
        <v>-1363.29025</v>
      </c>
      <c r="G185">
        <f t="shared" si="25"/>
        <v>-2.6020000000003165</v>
      </c>
      <c r="H185" s="1">
        <v>804.65599999999995</v>
      </c>
      <c r="I185" s="1">
        <v>708.4</v>
      </c>
      <c r="J185" s="1">
        <v>1057.7919999999999</v>
      </c>
      <c r="K185" s="1">
        <v>701.22299999999996</v>
      </c>
      <c r="L185" s="2">
        <f t="shared" si="26"/>
        <v>-1181.98225</v>
      </c>
      <c r="M185">
        <f t="shared" si="27"/>
        <v>-2.8190000000004147</v>
      </c>
      <c r="N185" s="1">
        <v>1914.5340000000001</v>
      </c>
      <c r="O185" s="1">
        <v>891.92499999999995</v>
      </c>
      <c r="P185" s="1">
        <v>1294.268</v>
      </c>
      <c r="Q185" s="1">
        <v>605.74699999999996</v>
      </c>
      <c r="R185" s="2">
        <f t="shared" si="21"/>
        <v>-823.38149999999996</v>
      </c>
      <c r="S185">
        <f t="shared" si="28"/>
        <v>-2.4555000000000291</v>
      </c>
      <c r="T185" s="1">
        <v>1113.414</v>
      </c>
      <c r="U185" s="1">
        <v>663.447</v>
      </c>
      <c r="V185" s="1">
        <v>931.72299999999996</v>
      </c>
      <c r="W185" s="1">
        <v>753.24900000000002</v>
      </c>
      <c r="X185" s="2">
        <f t="shared" si="23"/>
        <v>-924.06150000000002</v>
      </c>
      <c r="Y185" s="6"/>
      <c r="Z185" s="7"/>
      <c r="AB185" s="6"/>
      <c r="AC185" s="8"/>
      <c r="AD185" s="2">
        <f t="shared" si="29"/>
        <v>-2.3454999999999018</v>
      </c>
      <c r="AE185" s="2"/>
      <c r="AF185" s="2"/>
      <c r="AG185" s="2"/>
      <c r="AH185" s="2"/>
      <c r="AI185" s="2"/>
      <c r="AJ185" s="6"/>
      <c r="AK185" s="6"/>
      <c r="AL185" s="6"/>
      <c r="AM185" s="6"/>
      <c r="AN185" s="6"/>
      <c r="AO185" s="6"/>
      <c r="AP185" s="6"/>
      <c r="AQ185" s="8"/>
      <c r="AR185" s="6"/>
      <c r="AS185" s="6"/>
      <c r="AT185" s="8"/>
      <c r="AU185" s="6"/>
      <c r="AV185" s="7"/>
      <c r="AW185" s="7"/>
      <c r="AX185" s="7"/>
      <c r="AY185" s="7"/>
      <c r="BB185" s="6"/>
      <c r="BC185" s="6"/>
      <c r="BD185" s="9"/>
      <c r="BE185" s="6"/>
      <c r="BF185" s="6"/>
      <c r="BG185" s="6"/>
      <c r="BH185" s="6"/>
      <c r="BI185" s="6"/>
      <c r="BJ185" s="6"/>
      <c r="BK185" s="6"/>
      <c r="BL185" s="6"/>
      <c r="BM185" s="6"/>
      <c r="BN185" s="6"/>
      <c r="BO185" s="6"/>
      <c r="BP185" s="6"/>
      <c r="BQ185" s="6"/>
      <c r="BR185" s="6"/>
      <c r="BS185" s="6"/>
      <c r="BT185" s="8"/>
      <c r="BU185" s="6"/>
      <c r="BV185" s="6"/>
      <c r="BW185" s="6"/>
      <c r="BX185" s="8"/>
      <c r="BY185" s="6"/>
      <c r="BZ185" s="7"/>
      <c r="CC185" s="7"/>
      <c r="CD185" s="7"/>
      <c r="CE185" s="7"/>
    </row>
    <row r="186" spans="1:83" ht="14" x14ac:dyDescent="0.3">
      <c r="A186" s="2">
        <f t="shared" si="4"/>
        <v>92</v>
      </c>
      <c r="B186" s="2">
        <v>709.13199999999995</v>
      </c>
      <c r="C186" s="2">
        <v>621.12300000000005</v>
      </c>
      <c r="D186" s="2">
        <v>539.755</v>
      </c>
      <c r="E186" s="2">
        <v>673.35</v>
      </c>
      <c r="F186" s="2">
        <f t="shared" si="17"/>
        <v>-1364.1599999999999</v>
      </c>
      <c r="G186">
        <f t="shared" si="25"/>
        <v>-2.6179999999999382</v>
      </c>
      <c r="H186" s="1">
        <v>801.12199999999996</v>
      </c>
      <c r="I186" s="1">
        <v>708.44</v>
      </c>
      <c r="J186" s="1">
        <v>1057.077</v>
      </c>
      <c r="K186" s="1">
        <v>692.37099999999998</v>
      </c>
      <c r="L186" s="2">
        <f t="shared" si="26"/>
        <v>-1185.2474999999999</v>
      </c>
      <c r="M186">
        <f t="shared" si="27"/>
        <v>-0.7680000000000291</v>
      </c>
      <c r="N186" s="1">
        <v>1909.201</v>
      </c>
      <c r="O186" s="1">
        <v>889.57299999999998</v>
      </c>
      <c r="P186" s="1">
        <v>1289.3689999999999</v>
      </c>
      <c r="Q186" s="1">
        <v>604.50199999999995</v>
      </c>
      <c r="R186" s="2">
        <f t="shared" si="21"/>
        <v>-826.83874999999989</v>
      </c>
      <c r="S186">
        <f t="shared" si="28"/>
        <v>-4.2950000000000728</v>
      </c>
      <c r="T186" s="1">
        <v>1112.1959999999999</v>
      </c>
      <c r="U186" s="1">
        <v>664.22</v>
      </c>
      <c r="V186" s="1">
        <v>932.04300000000001</v>
      </c>
      <c r="W186" s="1">
        <v>752.60400000000004</v>
      </c>
      <c r="X186" s="2">
        <f t="shared" si="23"/>
        <v>-923.81950000000006</v>
      </c>
      <c r="Y186" s="6"/>
      <c r="Z186" s="7"/>
      <c r="AB186" s="6"/>
      <c r="AC186" s="8"/>
      <c r="AD186" s="2">
        <f t="shared" si="29"/>
        <v>-5.7755000000001928</v>
      </c>
      <c r="AE186" s="2"/>
      <c r="AF186" s="2"/>
      <c r="AG186" s="2"/>
      <c r="AH186" s="2"/>
      <c r="AI186" s="2"/>
      <c r="AJ186" s="6"/>
      <c r="AK186" s="6"/>
      <c r="AL186" s="6"/>
      <c r="AM186" s="6"/>
      <c r="AN186" s="6"/>
      <c r="AO186" s="6"/>
      <c r="AP186" s="6"/>
      <c r="AQ186" s="8"/>
      <c r="AR186" s="6"/>
      <c r="AS186" s="6"/>
      <c r="AT186" s="8"/>
      <c r="AU186" s="6"/>
      <c r="AV186" s="7"/>
      <c r="AW186" s="7"/>
      <c r="AX186" s="7"/>
      <c r="AY186" s="7"/>
      <c r="BB186" s="6"/>
      <c r="BC186" s="6"/>
      <c r="BD186" s="6"/>
      <c r="BE186" s="6"/>
      <c r="BF186" s="6"/>
      <c r="BG186" s="6"/>
      <c r="BH186" s="6"/>
      <c r="BI186" s="6"/>
      <c r="BJ186" s="6"/>
      <c r="BK186" s="6"/>
      <c r="BL186" s="6"/>
      <c r="BM186" s="6"/>
      <c r="BN186" s="6"/>
      <c r="BO186" s="8"/>
      <c r="BP186" s="6"/>
      <c r="BQ186" s="6"/>
      <c r="BR186" s="6"/>
      <c r="BS186" s="6"/>
      <c r="BT186" s="8"/>
      <c r="BU186" s="6"/>
      <c r="BV186" s="6"/>
      <c r="BW186" s="6"/>
      <c r="BX186" s="8"/>
      <c r="BY186" s="6"/>
      <c r="BZ186" s="7"/>
      <c r="CC186" s="7"/>
      <c r="CD186" s="7"/>
      <c r="CE186" s="7"/>
    </row>
    <row r="187" spans="1:83" ht="14" x14ac:dyDescent="0.3">
      <c r="A187" s="2">
        <f t="shared" si="4"/>
        <v>92.5</v>
      </c>
      <c r="B187" s="2">
        <v>707.43</v>
      </c>
      <c r="C187" s="2">
        <v>620.35400000000004</v>
      </c>
      <c r="D187" s="2">
        <v>538.76400000000001</v>
      </c>
      <c r="E187" s="2">
        <v>671.60799999999995</v>
      </c>
      <c r="F187" s="2">
        <f t="shared" si="17"/>
        <v>-1365.461</v>
      </c>
      <c r="G187">
        <f t="shared" si="25"/>
        <v>-2.1385000000000218</v>
      </c>
      <c r="H187" s="1">
        <v>799.72400000000005</v>
      </c>
      <c r="I187" s="1">
        <v>705.88300000000004</v>
      </c>
      <c r="J187" s="1">
        <v>1054.0609999999999</v>
      </c>
      <c r="K187" s="1">
        <v>693.70399999999995</v>
      </c>
      <c r="L187" s="2">
        <f t="shared" si="26"/>
        <v>-1186.6570000000002</v>
      </c>
      <c r="M187">
        <f t="shared" si="27"/>
        <v>-0.22599999999965803</v>
      </c>
      <c r="N187" s="1">
        <v>1906.778</v>
      </c>
      <c r="O187" s="1">
        <v>889.54200000000003</v>
      </c>
      <c r="P187" s="1">
        <v>1286.932</v>
      </c>
      <c r="Q187" s="1">
        <v>604.48199999999997</v>
      </c>
      <c r="R187" s="2">
        <f t="shared" si="21"/>
        <v>-828.06649999999991</v>
      </c>
      <c r="S187">
        <f t="shared" si="28"/>
        <v>-8.0995000000002619</v>
      </c>
      <c r="T187" s="1">
        <v>1110.7349999999999</v>
      </c>
      <c r="U187" s="1">
        <v>663.74599999999998</v>
      </c>
      <c r="V187" s="1">
        <v>930.90200000000004</v>
      </c>
      <c r="W187" s="1">
        <v>751.529</v>
      </c>
      <c r="X187" s="2">
        <f t="shared" si="23"/>
        <v>-924.99225000000001</v>
      </c>
      <c r="Y187" s="6"/>
      <c r="Z187" s="7"/>
      <c r="AB187" s="6"/>
      <c r="AC187" s="8"/>
      <c r="AD187" s="2">
        <f t="shared" si="29"/>
        <v>3.1950000000001637</v>
      </c>
      <c r="AE187" s="2"/>
      <c r="AF187" s="2"/>
      <c r="AG187" s="2"/>
      <c r="AH187" s="2"/>
      <c r="AI187" s="2"/>
      <c r="AJ187" s="6"/>
      <c r="AK187" s="9"/>
      <c r="AL187" s="6"/>
      <c r="AM187" s="6"/>
      <c r="AN187" s="6"/>
      <c r="AO187" s="6"/>
      <c r="AP187" s="6"/>
      <c r="AQ187" s="8"/>
      <c r="AR187" s="6"/>
      <c r="AS187" s="6"/>
      <c r="AT187" s="12"/>
      <c r="AU187" s="6"/>
      <c r="AV187" s="7"/>
      <c r="AW187" s="7"/>
      <c r="AX187" s="7"/>
      <c r="AY187" s="7"/>
      <c r="BB187" s="6"/>
      <c r="BC187" s="6"/>
      <c r="BD187" s="6"/>
      <c r="BE187" s="6"/>
      <c r="BF187" s="6"/>
      <c r="BG187" s="6"/>
      <c r="BH187" s="6"/>
      <c r="BI187" s="6"/>
      <c r="BJ187" s="6"/>
      <c r="BK187" s="6"/>
      <c r="BL187" s="6"/>
      <c r="BM187" s="6"/>
      <c r="BN187" s="6"/>
      <c r="BO187" s="8"/>
      <c r="BP187" s="6"/>
      <c r="BQ187" s="6"/>
      <c r="BR187" s="6"/>
      <c r="BS187" s="6"/>
      <c r="BT187" s="8"/>
      <c r="BU187" s="6"/>
      <c r="BV187" s="6"/>
      <c r="BW187" s="6"/>
      <c r="BX187" s="8"/>
      <c r="BY187" s="6"/>
      <c r="BZ187" s="7"/>
      <c r="CC187" s="7"/>
      <c r="CD187" s="7"/>
      <c r="CE187" s="7"/>
    </row>
    <row r="188" spans="1:83" ht="14" x14ac:dyDescent="0.3">
      <c r="A188" s="2">
        <f t="shared" si="4"/>
        <v>93</v>
      </c>
      <c r="B188" s="2">
        <v>706.18399999999997</v>
      </c>
      <c r="C188" s="2">
        <v>619.02800000000002</v>
      </c>
      <c r="D188" s="2">
        <v>537.84799999999996</v>
      </c>
      <c r="E188" s="2">
        <v>669.86</v>
      </c>
      <c r="F188" s="2">
        <f t="shared" si="17"/>
        <v>-1366.77</v>
      </c>
      <c r="G188">
        <f t="shared" si="25"/>
        <v>-2.4165000000002692</v>
      </c>
      <c r="H188" s="1">
        <v>800.24699999999996</v>
      </c>
      <c r="I188" s="1">
        <v>704.78800000000001</v>
      </c>
      <c r="J188" s="1">
        <v>1051.8109999999999</v>
      </c>
      <c r="K188" s="1">
        <v>694.99</v>
      </c>
      <c r="L188" s="2">
        <f t="shared" si="26"/>
        <v>-1187.0410000000002</v>
      </c>
      <c r="M188">
        <f t="shared" si="27"/>
        <v>-9.8975000000000364</v>
      </c>
      <c r="N188" s="1">
        <v>1903.575</v>
      </c>
      <c r="O188" s="1">
        <v>887.35900000000004</v>
      </c>
      <c r="P188" s="1">
        <v>1284.7529999999999</v>
      </c>
      <c r="Q188" s="1">
        <v>603.45699999999999</v>
      </c>
      <c r="R188" s="2">
        <f t="shared" si="21"/>
        <v>-830.21399999999994</v>
      </c>
      <c r="S188">
        <f t="shared" si="28"/>
        <v>-7.2339999999994689</v>
      </c>
      <c r="T188" s="1">
        <v>1107.26</v>
      </c>
      <c r="U188" s="1">
        <v>662.25699999999995</v>
      </c>
      <c r="V188" s="1">
        <v>928.35299999999995</v>
      </c>
      <c r="W188" s="1">
        <v>749.72900000000004</v>
      </c>
      <c r="X188" s="2">
        <f t="shared" si="23"/>
        <v>-927.88000000000011</v>
      </c>
      <c r="Y188" s="6"/>
      <c r="Z188" s="7"/>
      <c r="AB188" s="6"/>
      <c r="AC188" s="8"/>
      <c r="AD188" s="2">
        <f t="shared" si="29"/>
        <v>-7.7039999999997235</v>
      </c>
      <c r="AE188" s="2"/>
      <c r="AF188" s="2"/>
      <c r="AG188" s="2"/>
      <c r="AH188" s="2"/>
      <c r="AI188" s="2"/>
      <c r="AJ188" s="6"/>
      <c r="AK188" s="6"/>
      <c r="AL188" s="6"/>
      <c r="AM188" s="6"/>
      <c r="AN188" s="6"/>
      <c r="AO188" s="6"/>
      <c r="AP188" s="6"/>
      <c r="AQ188" s="8"/>
      <c r="AR188" s="6"/>
      <c r="AS188" s="6"/>
      <c r="AT188" s="12"/>
      <c r="AU188" s="6"/>
      <c r="AV188" s="7"/>
      <c r="AW188" s="7"/>
      <c r="AX188" s="7"/>
      <c r="AY188" s="7"/>
      <c r="BB188" s="6"/>
      <c r="BC188" s="6"/>
      <c r="BD188" s="6"/>
      <c r="BE188" s="6"/>
      <c r="BF188" s="6"/>
      <c r="BG188" s="6"/>
      <c r="BH188" s="6"/>
      <c r="BI188" s="6"/>
      <c r="BJ188" s="6"/>
      <c r="BK188" s="6"/>
      <c r="BL188" s="6"/>
      <c r="BM188" s="6"/>
      <c r="BN188" s="6"/>
      <c r="BO188" s="8"/>
      <c r="BP188" s="6"/>
      <c r="BQ188" s="6"/>
      <c r="BR188" s="6"/>
      <c r="BS188" s="6"/>
      <c r="BT188" s="8"/>
      <c r="BU188" s="6"/>
      <c r="BV188" s="6"/>
      <c r="BW188" s="6"/>
      <c r="BX188" s="8"/>
      <c r="BY188" s="6"/>
      <c r="CC188" s="7"/>
      <c r="CD188" s="7"/>
      <c r="CE188" s="7"/>
    </row>
    <row r="189" spans="1:83" ht="14" x14ac:dyDescent="0.3">
      <c r="A189" s="2">
        <f t="shared" si="4"/>
        <v>93.5</v>
      </c>
      <c r="B189" s="2">
        <v>705.95399999999995</v>
      </c>
      <c r="C189" s="2">
        <v>617.19000000000005</v>
      </c>
      <c r="D189" s="2">
        <v>537.49</v>
      </c>
      <c r="E189" s="2">
        <v>668.00900000000001</v>
      </c>
      <c r="F189" s="2">
        <f t="shared" si="17"/>
        <v>-1367.83925</v>
      </c>
      <c r="G189">
        <f t="shared" si="25"/>
        <v>-0.91749999999956344</v>
      </c>
      <c r="H189" s="1">
        <v>800.976</v>
      </c>
      <c r="I189" s="10">
        <v>703.37900000000002</v>
      </c>
      <c r="J189" s="1">
        <v>1048.8399999999999</v>
      </c>
      <c r="K189" s="1">
        <v>698.18899999999996</v>
      </c>
      <c r="L189" s="2">
        <f t="shared" si="26"/>
        <v>-1187.154</v>
      </c>
      <c r="M189">
        <f t="shared" si="27"/>
        <v>-14.1875</v>
      </c>
      <c r="N189" s="1">
        <v>1896.7460000000001</v>
      </c>
      <c r="O189" s="1">
        <v>884.6</v>
      </c>
      <c r="P189" s="1">
        <v>1279.097</v>
      </c>
      <c r="Q189" s="1">
        <v>602.50199999999995</v>
      </c>
      <c r="R189" s="2">
        <f t="shared" si="21"/>
        <v>-834.26375000000007</v>
      </c>
      <c r="S189">
        <f t="shared" si="28"/>
        <v>-3.6075000000005275</v>
      </c>
      <c r="T189" s="1">
        <v>1118.374</v>
      </c>
      <c r="U189" s="1">
        <v>661.53599999999994</v>
      </c>
      <c r="V189" s="1">
        <v>926.71199999999999</v>
      </c>
      <c r="W189" s="1">
        <v>749.28</v>
      </c>
      <c r="X189" s="2">
        <f t="shared" si="23"/>
        <v>-926.28250000000003</v>
      </c>
      <c r="Y189" s="6"/>
      <c r="Z189" s="7"/>
      <c r="AB189" s="6"/>
      <c r="AC189" s="8"/>
      <c r="AD189" s="2">
        <f t="shared" si="29"/>
        <v>-7.6675000000000182</v>
      </c>
      <c r="AE189" s="2"/>
      <c r="AF189" s="2"/>
      <c r="AG189" s="2"/>
      <c r="AH189" s="2"/>
      <c r="AI189" s="2"/>
      <c r="AJ189" s="6"/>
      <c r="AK189" s="6"/>
      <c r="AL189" s="6"/>
      <c r="AM189" s="6"/>
      <c r="AN189" s="6"/>
      <c r="AO189" s="6"/>
      <c r="AP189" s="6"/>
      <c r="AQ189" s="8"/>
      <c r="AR189" s="6"/>
      <c r="AS189" s="6"/>
      <c r="AT189" s="8"/>
      <c r="AU189" s="6"/>
      <c r="AV189" s="7"/>
      <c r="AW189" s="7"/>
      <c r="AX189" s="7"/>
      <c r="AY189" s="7"/>
      <c r="BB189" s="6"/>
      <c r="BC189" s="6"/>
      <c r="BD189" s="6"/>
      <c r="BE189" s="6"/>
      <c r="BF189" s="6"/>
      <c r="BG189" s="6"/>
      <c r="BH189" s="6"/>
      <c r="BI189" s="6"/>
      <c r="BJ189" s="6"/>
      <c r="BK189" s="6"/>
      <c r="BL189" s="6"/>
      <c r="BM189" s="6"/>
      <c r="BN189" s="6"/>
      <c r="BO189" s="8"/>
      <c r="BP189" s="6"/>
      <c r="BQ189" s="6"/>
      <c r="BR189" s="6"/>
      <c r="BS189" s="6"/>
      <c r="BT189" s="8"/>
      <c r="BU189" s="6"/>
      <c r="BV189" s="6"/>
      <c r="BW189" s="6"/>
      <c r="BX189" s="8"/>
      <c r="BY189" s="6"/>
      <c r="CC189" s="7"/>
      <c r="CD189" s="7"/>
      <c r="CE189" s="7"/>
    </row>
    <row r="190" spans="1:83" ht="14" x14ac:dyDescent="0.3">
      <c r="A190" s="2">
        <f t="shared" si="4"/>
        <v>94</v>
      </c>
      <c r="B190" s="2">
        <v>704.30700000000002</v>
      </c>
      <c r="C190" s="2">
        <v>616.34900000000005</v>
      </c>
      <c r="D190" s="2">
        <v>536.49</v>
      </c>
      <c r="E190" s="2">
        <v>666.66399999999999</v>
      </c>
      <c r="F190" s="2">
        <f t="shared" si="17"/>
        <v>-1369.0475000000001</v>
      </c>
      <c r="G190">
        <f t="shared" si="25"/>
        <v>-1.6965000000000146</v>
      </c>
      <c r="H190" s="1">
        <v>796.76300000000003</v>
      </c>
      <c r="I190" s="1">
        <v>700.87400000000002</v>
      </c>
      <c r="J190" s="1">
        <v>1046.876</v>
      </c>
      <c r="K190" s="1">
        <v>687.07600000000002</v>
      </c>
      <c r="L190" s="2">
        <f t="shared" si="26"/>
        <v>-1192.10275</v>
      </c>
      <c r="M190">
        <f t="shared" si="27"/>
        <v>11.115499999999884</v>
      </c>
      <c r="N190" s="1">
        <v>1887.069</v>
      </c>
      <c r="O190" s="1">
        <v>884.61</v>
      </c>
      <c r="P190" s="1">
        <v>1275.104</v>
      </c>
      <c r="Q190" s="1">
        <v>601.69399999999996</v>
      </c>
      <c r="R190" s="2">
        <f t="shared" si="21"/>
        <v>-837.88074999999981</v>
      </c>
      <c r="S190">
        <f t="shared" si="28"/>
        <v>-7.3384999999998399</v>
      </c>
      <c r="T190" s="1">
        <v>1103.098</v>
      </c>
      <c r="U190" s="1">
        <v>661.67899999999997</v>
      </c>
      <c r="V190" s="1">
        <v>926.50300000000004</v>
      </c>
      <c r="W190" s="1">
        <v>750.39599999999996</v>
      </c>
      <c r="X190" s="2">
        <f t="shared" si="23"/>
        <v>-930.13449999999989</v>
      </c>
      <c r="Y190" s="6"/>
      <c r="Z190" s="7"/>
      <c r="AB190" s="6"/>
      <c r="AC190" s="8"/>
      <c r="AD190" s="2">
        <f t="shared" si="29"/>
        <v>-2.387000000000171</v>
      </c>
      <c r="AE190" s="2"/>
      <c r="AF190" s="2"/>
      <c r="AG190" s="2"/>
      <c r="AH190" s="2"/>
      <c r="AI190" s="2"/>
      <c r="AJ190" s="9"/>
      <c r="AK190" s="6"/>
      <c r="AL190" s="6"/>
      <c r="AM190" s="6"/>
      <c r="AN190" s="6"/>
      <c r="AO190" s="6"/>
      <c r="AP190" s="6"/>
      <c r="AQ190" s="8"/>
      <c r="AR190" s="6"/>
      <c r="AS190" s="6"/>
      <c r="AT190" s="8"/>
      <c r="AU190" s="6"/>
      <c r="AV190" s="7"/>
      <c r="AW190" s="7"/>
      <c r="AX190" s="7"/>
      <c r="AY190" s="7"/>
      <c r="BB190" s="6"/>
      <c r="BC190" s="6"/>
      <c r="BD190" s="6"/>
      <c r="BE190" s="6"/>
      <c r="BF190" s="6"/>
      <c r="BG190" s="6"/>
      <c r="BH190" s="6"/>
      <c r="BI190" s="6"/>
      <c r="BJ190" s="6"/>
      <c r="BK190" s="6"/>
      <c r="BL190" s="6"/>
      <c r="BM190" s="6"/>
      <c r="BN190" s="6"/>
      <c r="BO190" s="8"/>
      <c r="BP190" s="6"/>
      <c r="BQ190" s="6"/>
      <c r="BR190" s="6"/>
      <c r="BS190" s="6"/>
      <c r="BT190" s="8"/>
      <c r="BU190" s="6"/>
      <c r="BV190" s="6"/>
      <c r="BW190" s="6"/>
      <c r="BX190" s="8"/>
      <c r="BY190" s="6"/>
      <c r="CC190" s="7"/>
      <c r="CD190" s="7"/>
      <c r="CE190" s="7"/>
    </row>
    <row r="191" spans="1:83" ht="14" x14ac:dyDescent="0.3">
      <c r="A191" s="2">
        <f t="shared" si="4"/>
        <v>94.5</v>
      </c>
      <c r="B191" s="2">
        <v>701.77</v>
      </c>
      <c r="C191" s="2">
        <v>617.31200000000001</v>
      </c>
      <c r="D191" s="2">
        <v>537.22699999999998</v>
      </c>
      <c r="E191" s="2">
        <v>665.66600000000005</v>
      </c>
      <c r="F191" s="2">
        <f t="shared" si="17"/>
        <v>-1369.5062499999999</v>
      </c>
      <c r="G191">
        <f t="shared" si="25"/>
        <v>0.35300000000006548</v>
      </c>
      <c r="H191" s="1">
        <v>769.91099999999994</v>
      </c>
      <c r="I191" s="1">
        <v>700.39499999999998</v>
      </c>
      <c r="J191" s="1">
        <v>1045.1869999999999</v>
      </c>
      <c r="K191" s="1">
        <v>687.721</v>
      </c>
      <c r="L191" s="2">
        <f t="shared" si="26"/>
        <v>-1199.1965</v>
      </c>
      <c r="M191">
        <f t="shared" si="27"/>
        <v>6.5020000000004075</v>
      </c>
      <c r="N191" s="1">
        <v>1885.1969999999999</v>
      </c>
      <c r="O191" s="1">
        <v>883.06</v>
      </c>
      <c r="P191" s="1">
        <v>1272.3240000000001</v>
      </c>
      <c r="Q191" s="1">
        <v>600.68100000000004</v>
      </c>
      <c r="R191" s="2">
        <f t="shared" si="21"/>
        <v>-839.68450000000007</v>
      </c>
      <c r="S191">
        <f t="shared" si="28"/>
        <v>-5.75649999999996</v>
      </c>
      <c r="T191" s="1">
        <v>1097.7370000000001</v>
      </c>
      <c r="U191" s="1">
        <v>659.49800000000005</v>
      </c>
      <c r="V191" s="1">
        <v>923.697</v>
      </c>
      <c r="W191" s="1">
        <v>747.55499999999995</v>
      </c>
      <c r="X191" s="2">
        <f t="shared" si="23"/>
        <v>-933.9682499999999</v>
      </c>
      <c r="Y191" s="6"/>
      <c r="Z191" s="7"/>
      <c r="AB191" s="6"/>
      <c r="AC191" s="8"/>
      <c r="AD191" s="2">
        <f t="shared" si="29"/>
        <v>-0.56149999999979627</v>
      </c>
      <c r="AE191" s="2"/>
      <c r="AF191" s="2"/>
      <c r="AG191" s="2"/>
      <c r="AH191" s="2"/>
      <c r="AI191" s="2"/>
      <c r="AJ191" s="6"/>
      <c r="AK191" s="6"/>
      <c r="AL191" s="9"/>
      <c r="AM191" s="6"/>
      <c r="AN191" s="6"/>
      <c r="AO191" s="6"/>
      <c r="AP191" s="6"/>
      <c r="AQ191" s="8"/>
      <c r="AR191" s="6"/>
      <c r="AS191" s="6"/>
      <c r="AT191" s="8"/>
      <c r="AU191" s="6"/>
      <c r="AV191" s="7"/>
      <c r="AW191" s="7"/>
      <c r="AX191" s="7"/>
      <c r="AY191" s="7"/>
      <c r="BB191" s="6"/>
      <c r="BC191" s="6"/>
      <c r="BD191" s="6"/>
      <c r="BE191" s="6"/>
      <c r="BF191" s="6"/>
      <c r="BG191" s="6"/>
      <c r="BH191" s="6"/>
      <c r="BI191" s="6"/>
      <c r="BJ191" s="6"/>
      <c r="BK191" s="6"/>
      <c r="BL191" s="6"/>
      <c r="BM191" s="6"/>
      <c r="BN191" s="6"/>
      <c r="BO191" s="8"/>
      <c r="BP191" s="6"/>
      <c r="BQ191" s="6"/>
      <c r="BR191" s="6"/>
      <c r="BS191" s="6"/>
      <c r="BT191" s="8"/>
      <c r="BU191" s="6"/>
      <c r="BV191" s="6"/>
      <c r="BW191" s="6"/>
      <c r="BX191" s="8"/>
      <c r="BY191" s="6"/>
      <c r="CC191" s="7"/>
      <c r="CD191" s="7"/>
      <c r="CE191" s="7"/>
    </row>
    <row r="192" spans="1:83" ht="14" x14ac:dyDescent="0.3">
      <c r="A192" s="2">
        <f t="shared" si="4"/>
        <v>95</v>
      </c>
      <c r="B192" s="2">
        <v>701.20299999999997</v>
      </c>
      <c r="C192" s="2">
        <v>616.13699999999994</v>
      </c>
      <c r="D192" s="2">
        <v>536.27599999999995</v>
      </c>
      <c r="E192" s="2">
        <v>664.96600000000001</v>
      </c>
      <c r="F192" s="2">
        <f t="shared" si="17"/>
        <v>-1370.3544999999999</v>
      </c>
      <c r="G192">
        <f t="shared" si="25"/>
        <v>-3.4585000000001855</v>
      </c>
      <c r="H192" s="1">
        <v>794.23599999999999</v>
      </c>
      <c r="I192" s="1">
        <v>701.04600000000005</v>
      </c>
      <c r="J192" s="1">
        <v>1043.8219999999999</v>
      </c>
      <c r="K192" s="1">
        <v>686.34100000000001</v>
      </c>
      <c r="L192" s="2">
        <f t="shared" si="26"/>
        <v>-1193.6387500000001</v>
      </c>
      <c r="M192">
        <f t="shared" si="27"/>
        <v>-7.9500000000002728</v>
      </c>
      <c r="N192" s="1">
        <v>1879.463</v>
      </c>
      <c r="O192" s="1">
        <v>879.38699999999994</v>
      </c>
      <c r="P192" s="1">
        <v>1268.22</v>
      </c>
      <c r="Q192" s="1">
        <v>599.51499999999999</v>
      </c>
      <c r="R192" s="2">
        <f t="shared" si="21"/>
        <v>-843.35374999999999</v>
      </c>
      <c r="S192">
        <f t="shared" si="28"/>
        <v>-3.7215000000001055</v>
      </c>
      <c r="T192" s="1">
        <v>1097.3969999999999</v>
      </c>
      <c r="U192" s="1">
        <v>658.61199999999997</v>
      </c>
      <c r="V192" s="1">
        <v>922.36599999999999</v>
      </c>
      <c r="W192" s="1">
        <v>745.94299999999998</v>
      </c>
      <c r="X192" s="2">
        <f t="shared" si="23"/>
        <v>-935.16174999999998</v>
      </c>
      <c r="Y192" s="6"/>
      <c r="Z192" s="7"/>
      <c r="AB192" s="6"/>
      <c r="AC192" s="8"/>
      <c r="AD192" s="2">
        <f t="shared" si="29"/>
        <v>-3.4935000000004948</v>
      </c>
      <c r="AE192" s="2"/>
      <c r="AF192" s="2"/>
      <c r="AG192" s="2"/>
      <c r="AH192" s="2"/>
      <c r="AI192" s="2"/>
      <c r="AJ192" s="6"/>
      <c r="AK192" s="6"/>
      <c r="AL192" s="6"/>
      <c r="AM192" s="6"/>
      <c r="AN192" s="6"/>
      <c r="AO192" s="6"/>
      <c r="AP192" s="6"/>
      <c r="AQ192" s="8"/>
      <c r="AR192" s="6"/>
      <c r="AS192" s="6"/>
      <c r="AT192" s="8"/>
      <c r="AU192" s="8"/>
      <c r="AV192" s="7"/>
      <c r="AW192" s="7"/>
      <c r="AX192" s="7"/>
      <c r="AY192" s="7"/>
      <c r="BB192" s="6"/>
      <c r="BC192" s="6"/>
      <c r="BD192" s="6"/>
      <c r="BE192" s="6"/>
      <c r="BF192" s="6"/>
      <c r="BG192" s="6"/>
      <c r="BH192" s="6"/>
      <c r="BI192" s="6"/>
      <c r="BJ192" s="6"/>
      <c r="BK192" s="6"/>
      <c r="BL192" s="6"/>
      <c r="BM192" s="6"/>
      <c r="BN192" s="6"/>
      <c r="BO192" s="6"/>
      <c r="BP192" s="6"/>
      <c r="BQ192" s="6"/>
      <c r="BR192" s="6"/>
      <c r="BS192" s="6"/>
      <c r="BT192" s="8"/>
      <c r="BU192" s="6"/>
      <c r="BV192" s="6"/>
      <c r="BW192" s="6"/>
      <c r="BX192" s="8"/>
      <c r="BY192" s="6"/>
      <c r="CC192" s="7"/>
      <c r="CD192" s="7"/>
      <c r="CE192" s="7"/>
    </row>
    <row r="193" spans="1:83" ht="14" x14ac:dyDescent="0.3">
      <c r="A193" s="2">
        <f t="shared" si="4"/>
        <v>95.5</v>
      </c>
      <c r="B193" s="2">
        <v>701.048</v>
      </c>
      <c r="C193" s="2">
        <v>615.6</v>
      </c>
      <c r="D193" s="2">
        <v>537.20899999999995</v>
      </c>
      <c r="E193" s="2">
        <v>665.43100000000004</v>
      </c>
      <c r="F193" s="2">
        <f t="shared" si="17"/>
        <v>-1370.1779999999999</v>
      </c>
      <c r="G193">
        <f t="shared" si="25"/>
        <v>-1.5005000000001019</v>
      </c>
      <c r="H193" s="1">
        <v>800.99</v>
      </c>
      <c r="I193" s="1">
        <v>700.83699999999999</v>
      </c>
      <c r="J193" s="1">
        <v>1042.838</v>
      </c>
      <c r="K193" s="1">
        <v>693.78399999999999</v>
      </c>
      <c r="L193" s="2">
        <f t="shared" si="26"/>
        <v>-1190.3877499999999</v>
      </c>
      <c r="M193">
        <f t="shared" si="27"/>
        <v>1.5025000000000546</v>
      </c>
      <c r="N193" s="1">
        <v>1871.6579999999999</v>
      </c>
      <c r="O193" s="1">
        <v>879.86300000000006</v>
      </c>
      <c r="P193" s="1">
        <v>1264.299</v>
      </c>
      <c r="Q193" s="1">
        <v>599.25199999999995</v>
      </c>
      <c r="R193" s="2">
        <f t="shared" si="21"/>
        <v>-846.23199999999997</v>
      </c>
      <c r="S193">
        <f t="shared" si="28"/>
        <v>-4.4644999999995889</v>
      </c>
      <c r="T193" s="1">
        <v>1096.636</v>
      </c>
      <c r="U193" s="1">
        <v>658.94299999999998</v>
      </c>
      <c r="V193" s="1">
        <v>921.85400000000004</v>
      </c>
      <c r="W193" s="1">
        <v>745.71699999999998</v>
      </c>
      <c r="X193" s="2">
        <f t="shared" si="23"/>
        <v>-935.44249999999988</v>
      </c>
      <c r="Y193" s="6"/>
      <c r="Z193" s="7"/>
      <c r="AB193" s="6"/>
      <c r="AC193" s="8"/>
      <c r="AD193" s="2">
        <f t="shared" si="29"/>
        <v>0.99500000000034561</v>
      </c>
      <c r="AE193" s="2"/>
      <c r="AF193" s="2"/>
      <c r="AG193" s="2"/>
      <c r="AH193" s="2"/>
      <c r="AI193" s="2"/>
      <c r="AJ193" s="6"/>
      <c r="AK193" s="6"/>
      <c r="AL193" s="6"/>
      <c r="AM193" s="6"/>
      <c r="AN193" s="6"/>
      <c r="AO193" s="6"/>
      <c r="AP193" s="6"/>
      <c r="AQ193" s="8"/>
      <c r="AR193" s="6"/>
      <c r="AS193" s="6"/>
      <c r="AT193" s="12"/>
      <c r="AU193" s="8"/>
      <c r="AV193" s="7"/>
      <c r="AW193" s="7"/>
      <c r="AX193" s="7"/>
      <c r="AY193" s="7"/>
      <c r="BB193" s="6"/>
      <c r="BC193" s="6"/>
      <c r="BD193" s="6"/>
      <c r="BE193" s="6"/>
      <c r="BF193" s="6"/>
      <c r="BG193" s="6"/>
      <c r="BH193" s="6"/>
      <c r="BI193" s="6"/>
      <c r="BJ193" s="6"/>
      <c r="BK193" s="6"/>
      <c r="BL193" s="6"/>
      <c r="BM193" s="6"/>
      <c r="BN193" s="6"/>
      <c r="BO193" s="6"/>
      <c r="BP193" s="6"/>
      <c r="BQ193" s="6"/>
      <c r="BR193" s="6"/>
      <c r="BS193" s="6"/>
      <c r="BT193" s="8"/>
      <c r="BU193" s="6"/>
      <c r="BV193" s="6"/>
      <c r="BW193" s="6"/>
      <c r="BX193" s="8"/>
      <c r="BY193" s="6"/>
      <c r="CC193" s="7"/>
      <c r="CD193" s="7"/>
      <c r="CE193" s="7"/>
    </row>
    <row r="194" spans="1:83" ht="14" x14ac:dyDescent="0.3">
      <c r="A194" s="2">
        <f t="shared" si="4"/>
        <v>96</v>
      </c>
      <c r="B194" s="2">
        <v>699.90700000000004</v>
      </c>
      <c r="C194" s="2">
        <v>614.601</v>
      </c>
      <c r="D194" s="2">
        <v>535.86699999999996</v>
      </c>
      <c r="E194" s="2">
        <v>661.99599999999998</v>
      </c>
      <c r="F194" s="2">
        <f t="shared" si="17"/>
        <v>-1371.90725</v>
      </c>
      <c r="G194">
        <f t="shared" si="25"/>
        <v>-1.3279999999999745</v>
      </c>
      <c r="H194" s="1">
        <v>799.61900000000003</v>
      </c>
      <c r="I194" s="1">
        <v>698.27099999999996</v>
      </c>
      <c r="J194" s="1">
        <v>1040.4010000000001</v>
      </c>
      <c r="K194" s="1">
        <v>684.25800000000004</v>
      </c>
      <c r="L194" s="2">
        <f t="shared" si="26"/>
        <v>-1194.36275</v>
      </c>
      <c r="M194">
        <f t="shared" si="27"/>
        <v>-3.9049999999997453</v>
      </c>
      <c r="N194" s="1">
        <v>1870.992</v>
      </c>
      <c r="O194" s="1">
        <v>877.33600000000001</v>
      </c>
      <c r="P194" s="1">
        <v>1261.0239999999999</v>
      </c>
      <c r="Q194" s="1">
        <v>598.27700000000004</v>
      </c>
      <c r="R194" s="2">
        <f t="shared" si="21"/>
        <v>-848.09275000000002</v>
      </c>
      <c r="S194">
        <f t="shared" si="28"/>
        <v>-4.5740000000005239</v>
      </c>
      <c r="T194" s="1">
        <v>1096.3710000000001</v>
      </c>
      <c r="U194" s="1">
        <v>657.85199999999998</v>
      </c>
      <c r="V194" s="1">
        <v>919.58399999999995</v>
      </c>
      <c r="W194" s="1">
        <v>744.31700000000001</v>
      </c>
      <c r="X194" s="2">
        <f t="shared" si="23"/>
        <v>-937.18925000000013</v>
      </c>
      <c r="Y194" s="6"/>
      <c r="Z194" s="7"/>
      <c r="AB194" s="6"/>
      <c r="AC194" s="8"/>
      <c r="AD194" s="2">
        <f t="shared" si="29"/>
        <v>-9.5969999999997526</v>
      </c>
      <c r="AE194" s="2"/>
      <c r="AF194" s="2"/>
      <c r="AG194" s="2"/>
      <c r="AH194" s="2"/>
      <c r="AI194" s="2"/>
      <c r="AJ194" s="6"/>
      <c r="AK194" s="6"/>
      <c r="AL194" s="6"/>
      <c r="AM194" s="6"/>
      <c r="AN194" s="6"/>
      <c r="AO194" s="6"/>
      <c r="AP194" s="6"/>
      <c r="AQ194" s="8"/>
      <c r="AR194" s="6"/>
      <c r="AS194" s="6"/>
      <c r="AT194" s="12"/>
      <c r="AU194" s="6"/>
      <c r="AV194" s="7"/>
      <c r="AW194" s="7"/>
      <c r="AX194" s="7"/>
      <c r="AY194" s="7"/>
      <c r="BB194" s="6"/>
      <c r="BC194" s="6"/>
      <c r="BD194" s="6"/>
      <c r="BE194" s="6"/>
      <c r="BF194" s="6"/>
      <c r="BG194" s="6"/>
      <c r="BH194" s="6"/>
      <c r="BI194" s="6"/>
      <c r="BJ194" s="6"/>
      <c r="BK194" s="6"/>
      <c r="BL194" s="6"/>
      <c r="BM194" s="6"/>
      <c r="BN194" s="6"/>
      <c r="BO194" s="6"/>
      <c r="BP194" s="6"/>
      <c r="BQ194" s="6"/>
      <c r="BR194" s="6"/>
      <c r="BS194" s="6"/>
      <c r="BT194" s="8"/>
      <c r="BU194" s="6"/>
      <c r="BV194" s="6"/>
      <c r="BW194" s="6"/>
      <c r="BX194" s="8"/>
      <c r="BY194" s="6"/>
      <c r="CC194" s="7"/>
      <c r="CD194" s="7"/>
      <c r="CE194" s="7"/>
    </row>
    <row r="195" spans="1:83" ht="14" x14ac:dyDescent="0.3">
      <c r="A195" s="2">
        <f t="shared" si="4"/>
        <v>96.5</v>
      </c>
      <c r="B195" s="2">
        <v>699.46199999999999</v>
      </c>
      <c r="C195" s="2">
        <v>614.13699999999994</v>
      </c>
      <c r="D195" s="2">
        <v>535.32500000000005</v>
      </c>
      <c r="E195" s="2">
        <v>660.44600000000003</v>
      </c>
      <c r="F195" s="2">
        <f t="shared" si="17"/>
        <v>-1372.6575</v>
      </c>
      <c r="G195">
        <f t="shared" ref="G195:G258" si="30">(F197-F196)/(A197-A196)</f>
        <v>-2.6424999999999272</v>
      </c>
      <c r="H195" s="1">
        <v>799.06100000000004</v>
      </c>
      <c r="I195" s="1">
        <v>697.27099999999996</v>
      </c>
      <c r="J195" s="1">
        <v>1037.548</v>
      </c>
      <c r="K195" s="1">
        <v>691.67399999999998</v>
      </c>
      <c r="L195" s="2">
        <f t="shared" ref="L195:L258" si="31">((H195+I195+J195+K195)/4)-2000</f>
        <v>-1193.6115</v>
      </c>
      <c r="M195">
        <f t="shared" ref="M195:M258" si="32">(L197-L196)/(A197-A196)</f>
        <v>-1.6635000000005675</v>
      </c>
      <c r="N195" s="1">
        <v>1867.057</v>
      </c>
      <c r="O195" s="1">
        <v>875.63699999999994</v>
      </c>
      <c r="P195" s="1">
        <v>1258.2180000000001</v>
      </c>
      <c r="Q195" s="1">
        <v>597.78800000000001</v>
      </c>
      <c r="R195" s="2">
        <f t="shared" si="21"/>
        <v>-850.32499999999982</v>
      </c>
      <c r="S195">
        <f t="shared" ref="S195:S258" si="33">(R197-R196)/(A197-A196)</f>
        <v>-7.0744999999997162</v>
      </c>
      <c r="T195" s="1">
        <v>1105.9390000000001</v>
      </c>
      <c r="U195" s="1">
        <v>655.94399999999996</v>
      </c>
      <c r="V195" s="1">
        <v>917.70299999999997</v>
      </c>
      <c r="W195" s="1">
        <v>743.12599999999998</v>
      </c>
      <c r="X195" s="2">
        <f t="shared" si="23"/>
        <v>-936.69174999999996</v>
      </c>
      <c r="Y195" s="6"/>
      <c r="Z195" s="7"/>
      <c r="AB195" s="6"/>
      <c r="AC195" s="8"/>
      <c r="AD195" s="2">
        <f t="shared" si="29"/>
        <v>-4.0190000000002328</v>
      </c>
      <c r="AE195" s="2"/>
      <c r="AF195" s="2"/>
      <c r="AG195" s="2"/>
      <c r="AH195" s="2"/>
      <c r="AI195" s="2"/>
      <c r="AJ195" s="6"/>
      <c r="AK195" s="6"/>
      <c r="AL195" s="6"/>
      <c r="AM195" s="6"/>
      <c r="AN195" s="6"/>
      <c r="AO195" s="6"/>
      <c r="AP195" s="6"/>
      <c r="AQ195" s="8"/>
      <c r="AR195" s="6"/>
      <c r="AS195" s="6"/>
      <c r="AT195" s="8"/>
      <c r="AU195" s="6"/>
      <c r="AV195" s="7"/>
      <c r="AW195" s="7"/>
      <c r="AX195" s="7"/>
      <c r="AY195" s="7"/>
      <c r="BB195" s="6"/>
      <c r="BC195" s="6"/>
      <c r="BD195" s="6"/>
      <c r="BE195" s="6"/>
      <c r="BF195" s="6"/>
      <c r="BG195" s="6"/>
      <c r="BH195" s="6"/>
      <c r="BI195" s="6"/>
      <c r="BJ195" s="6"/>
      <c r="BK195" s="6"/>
      <c r="BL195" s="6"/>
      <c r="BM195" s="6"/>
      <c r="BN195" s="6"/>
      <c r="BO195" s="6"/>
      <c r="BP195" s="6"/>
      <c r="BQ195" s="6"/>
      <c r="BR195" s="6"/>
      <c r="BS195" s="9"/>
      <c r="BT195" s="8"/>
      <c r="BU195" s="6"/>
      <c r="BV195" s="6"/>
      <c r="BW195" s="6"/>
      <c r="BX195" s="8"/>
      <c r="BY195" s="6"/>
      <c r="CC195" s="7"/>
      <c r="CD195" s="7"/>
      <c r="CE195" s="7"/>
    </row>
    <row r="196" spans="1:83" ht="14" x14ac:dyDescent="0.3">
      <c r="A196" s="2">
        <f t="shared" si="4"/>
        <v>97</v>
      </c>
      <c r="B196" s="2">
        <v>698.322</v>
      </c>
      <c r="C196" s="2">
        <v>612.798</v>
      </c>
      <c r="D196" s="2">
        <v>535.08900000000006</v>
      </c>
      <c r="E196" s="2">
        <v>660.505</v>
      </c>
      <c r="F196" s="2">
        <f t="shared" si="17"/>
        <v>-1373.3215</v>
      </c>
      <c r="G196">
        <f t="shared" si="30"/>
        <v>-3.1545000000000982</v>
      </c>
      <c r="H196" s="1">
        <v>800.00800000000004</v>
      </c>
      <c r="I196" s="1">
        <v>697.09900000000005</v>
      </c>
      <c r="J196" s="1">
        <v>1036.68</v>
      </c>
      <c r="K196" s="1">
        <v>683.95699999999999</v>
      </c>
      <c r="L196" s="2">
        <f t="shared" si="31"/>
        <v>-1195.5639999999999</v>
      </c>
      <c r="M196">
        <f t="shared" si="32"/>
        <v>-4.7545000000000073</v>
      </c>
      <c r="N196" s="1">
        <v>1863.424</v>
      </c>
      <c r="O196" s="1">
        <v>873.702</v>
      </c>
      <c r="P196" s="1">
        <v>1255.1420000000001</v>
      </c>
      <c r="Q196" s="1">
        <v>597.28399999999999</v>
      </c>
      <c r="R196" s="2">
        <f t="shared" si="21"/>
        <v>-852.61200000000008</v>
      </c>
      <c r="S196">
        <f t="shared" si="33"/>
        <v>-10.722499999999854</v>
      </c>
      <c r="T196" s="1">
        <v>1088.885</v>
      </c>
      <c r="U196" s="1">
        <v>655.78</v>
      </c>
      <c r="V196" s="1">
        <v>916.79700000000003</v>
      </c>
      <c r="W196" s="1">
        <v>743.86300000000006</v>
      </c>
      <c r="X196" s="2">
        <f t="shared" si="23"/>
        <v>-941.49024999999983</v>
      </c>
      <c r="Y196" s="6"/>
      <c r="Z196" s="7"/>
      <c r="AB196" s="6"/>
      <c r="AC196" s="8"/>
      <c r="AD196" s="2">
        <f t="shared" ref="AD196:AD259" si="34">(X198-X197)/(A198-A197)</f>
        <v>-5.8130000000001019</v>
      </c>
      <c r="AE196" s="2"/>
      <c r="AF196" s="2"/>
      <c r="AG196" s="3"/>
      <c r="AH196" s="2"/>
      <c r="AI196" s="2"/>
      <c r="AJ196" s="6"/>
      <c r="AK196" s="6"/>
      <c r="AL196" s="6"/>
      <c r="AM196" s="6"/>
      <c r="AN196" s="6"/>
      <c r="AO196" s="6"/>
      <c r="AP196" s="6"/>
      <c r="AQ196" s="8"/>
      <c r="AR196" s="6"/>
      <c r="AS196" s="6"/>
      <c r="AT196" s="8"/>
      <c r="AU196" s="6"/>
      <c r="AV196" s="7"/>
      <c r="AW196" s="7"/>
      <c r="AX196" s="7"/>
      <c r="AY196" s="7"/>
      <c r="BB196" s="6"/>
      <c r="BC196" s="6"/>
      <c r="BD196" s="6"/>
      <c r="BE196" s="6"/>
      <c r="BF196" s="6"/>
      <c r="BG196" s="6"/>
      <c r="BH196" s="6"/>
      <c r="BI196" s="9"/>
      <c r="BJ196" s="6"/>
      <c r="BK196" s="6"/>
      <c r="BL196" s="6"/>
      <c r="BM196" s="6"/>
      <c r="BN196" s="6"/>
      <c r="BO196" s="6"/>
      <c r="BP196" s="6"/>
      <c r="BQ196" s="6"/>
      <c r="BR196" s="6"/>
      <c r="BS196" s="6"/>
      <c r="BT196" s="8"/>
      <c r="BU196" s="6"/>
      <c r="BV196" s="6"/>
      <c r="BW196" s="6"/>
      <c r="BX196" s="8"/>
      <c r="BY196" s="6"/>
      <c r="CC196" s="7"/>
      <c r="CD196" s="7"/>
      <c r="CE196" s="7"/>
    </row>
    <row r="197" spans="1:83" ht="14" x14ac:dyDescent="0.3">
      <c r="A197" s="2">
        <f t="shared" si="4"/>
        <v>97.5</v>
      </c>
      <c r="B197" s="2">
        <v>697.19100000000003</v>
      </c>
      <c r="C197" s="2">
        <v>611.798</v>
      </c>
      <c r="D197" s="2">
        <v>534.83900000000006</v>
      </c>
      <c r="E197" s="2">
        <v>657.601</v>
      </c>
      <c r="F197" s="2">
        <f t="shared" si="17"/>
        <v>-1374.64275</v>
      </c>
      <c r="G197">
        <f t="shared" si="30"/>
        <v>-1.7730000000001382</v>
      </c>
      <c r="H197" s="1">
        <v>797.48900000000003</v>
      </c>
      <c r="I197" s="1">
        <v>696.34199999999998</v>
      </c>
      <c r="J197" s="1">
        <v>1034.6420000000001</v>
      </c>
      <c r="K197" s="1">
        <v>685.94399999999996</v>
      </c>
      <c r="L197" s="2">
        <f t="shared" si="31"/>
        <v>-1196.3957500000001</v>
      </c>
      <c r="M197">
        <f t="shared" si="32"/>
        <v>0.76749999999992724</v>
      </c>
      <c r="N197" s="1">
        <v>1856.788</v>
      </c>
      <c r="O197" s="1">
        <v>872.07600000000002</v>
      </c>
      <c r="P197" s="1">
        <v>1249.4860000000001</v>
      </c>
      <c r="Q197" s="1">
        <v>597.053</v>
      </c>
      <c r="R197" s="2">
        <f t="shared" si="21"/>
        <v>-856.14924999999994</v>
      </c>
      <c r="S197">
        <f t="shared" si="33"/>
        <v>-2.6525000000001455</v>
      </c>
      <c r="T197" s="1">
        <v>1085.989</v>
      </c>
      <c r="U197" s="1">
        <v>654.84799999999996</v>
      </c>
      <c r="V197" s="1">
        <v>915.15800000000002</v>
      </c>
      <c r="W197" s="1">
        <v>741.13400000000001</v>
      </c>
      <c r="X197" s="2">
        <f t="shared" si="23"/>
        <v>-943.49974999999995</v>
      </c>
      <c r="Y197" s="6"/>
      <c r="Z197" s="7"/>
      <c r="AB197" s="6"/>
      <c r="AC197" s="8"/>
      <c r="AD197" s="2">
        <f t="shared" si="34"/>
        <v>-1.8170000000000073</v>
      </c>
      <c r="AE197" s="2"/>
      <c r="AF197" s="3"/>
      <c r="AG197" s="2"/>
      <c r="AH197" s="2"/>
      <c r="AI197" s="2"/>
      <c r="AJ197" s="6"/>
      <c r="AK197" s="6"/>
      <c r="AL197" s="6"/>
      <c r="AM197" s="6"/>
      <c r="AN197" s="6"/>
      <c r="AO197" s="6"/>
      <c r="AP197" s="6"/>
      <c r="AQ197" s="8"/>
      <c r="AR197" s="6"/>
      <c r="AS197" s="6"/>
      <c r="AT197" s="8"/>
      <c r="AU197" s="6"/>
      <c r="AV197" s="7"/>
      <c r="AW197" s="7"/>
      <c r="AX197" s="7"/>
      <c r="AY197" s="7"/>
      <c r="BB197" s="6"/>
      <c r="BC197" s="6"/>
      <c r="BD197" s="6"/>
      <c r="BE197" s="6"/>
      <c r="BF197" s="6"/>
      <c r="BG197" s="6"/>
      <c r="BH197" s="6"/>
      <c r="BI197" s="6"/>
      <c r="BJ197" s="6"/>
      <c r="BK197" s="6"/>
      <c r="BL197" s="6"/>
      <c r="BM197" s="6"/>
      <c r="BN197" s="6"/>
      <c r="BO197" s="6"/>
      <c r="BP197" s="6"/>
      <c r="BQ197" s="6"/>
      <c r="BR197" s="6"/>
      <c r="BS197" s="6"/>
      <c r="BT197" s="8"/>
      <c r="BU197" s="6"/>
      <c r="BV197" s="6"/>
      <c r="BW197" s="6"/>
      <c r="BX197" s="8"/>
      <c r="BY197" s="6"/>
      <c r="CC197" s="7"/>
      <c r="CD197" s="7"/>
      <c r="CE197" s="7"/>
    </row>
    <row r="198" spans="1:83" ht="14" x14ac:dyDescent="0.3">
      <c r="A198" s="2">
        <f t="shared" si="4"/>
        <v>98</v>
      </c>
      <c r="B198" s="2">
        <v>695.64</v>
      </c>
      <c r="C198" s="2">
        <v>609.80999999999995</v>
      </c>
      <c r="D198" s="2">
        <v>533.50300000000004</v>
      </c>
      <c r="E198" s="3">
        <v>656.16700000000003</v>
      </c>
      <c r="F198" s="2">
        <f t="shared" si="17"/>
        <v>-1376.22</v>
      </c>
      <c r="G198">
        <f t="shared" si="30"/>
        <v>-3.0139999999996689</v>
      </c>
      <c r="H198" s="1">
        <v>796.57600000000002</v>
      </c>
      <c r="I198" s="1">
        <v>694.64700000000005</v>
      </c>
      <c r="J198" s="1">
        <v>1032.0029999999999</v>
      </c>
      <c r="K198" s="1">
        <v>681.68200000000002</v>
      </c>
      <c r="L198" s="2">
        <f t="shared" si="31"/>
        <v>-1198.7730000000001</v>
      </c>
      <c r="M198">
        <f t="shared" si="32"/>
        <v>-3.0734999999995125</v>
      </c>
      <c r="N198" s="1">
        <v>1847.742</v>
      </c>
      <c r="O198" s="1">
        <v>868.50900000000001</v>
      </c>
      <c r="P198" s="1">
        <v>1243.06</v>
      </c>
      <c r="Q198" s="1">
        <v>594.64700000000005</v>
      </c>
      <c r="R198" s="2">
        <f t="shared" si="21"/>
        <v>-861.51049999999987</v>
      </c>
      <c r="S198">
        <f t="shared" si="33"/>
        <v>-2.8580000000001746</v>
      </c>
      <c r="T198" s="1">
        <v>1082.729</v>
      </c>
      <c r="U198" s="1">
        <v>653.452</v>
      </c>
      <c r="V198" s="1">
        <v>912.37099999999998</v>
      </c>
      <c r="W198" s="1">
        <v>739.67499999999995</v>
      </c>
      <c r="X198" s="2">
        <f t="shared" si="23"/>
        <v>-946.40625</v>
      </c>
      <c r="Y198" s="6"/>
      <c r="Z198" s="7"/>
      <c r="AB198" s="6"/>
      <c r="AC198" s="8"/>
      <c r="AD198" s="2">
        <f t="shared" si="34"/>
        <v>-2.4009999999998399</v>
      </c>
      <c r="AE198" s="2"/>
      <c r="AF198" s="2"/>
      <c r="AG198" s="2"/>
      <c r="AH198" s="2"/>
      <c r="AI198" s="2"/>
      <c r="AJ198" s="6"/>
      <c r="AK198" s="6"/>
      <c r="AL198" s="6"/>
      <c r="AM198" s="6"/>
      <c r="AN198" s="6"/>
      <c r="AO198" s="6"/>
      <c r="AP198" s="6"/>
      <c r="AQ198" s="8"/>
      <c r="AR198" s="9"/>
      <c r="AS198" s="6"/>
      <c r="AT198" s="8"/>
      <c r="AU198" s="6"/>
      <c r="AV198" s="7"/>
      <c r="AW198" s="7"/>
      <c r="AX198" s="7"/>
      <c r="AY198" s="7"/>
      <c r="BB198" s="6"/>
      <c r="BC198" s="6"/>
      <c r="BD198" s="6"/>
      <c r="BE198" s="6"/>
      <c r="BF198" s="6"/>
      <c r="BG198" s="6"/>
      <c r="BH198" s="6"/>
      <c r="BI198" s="6"/>
      <c r="BJ198" s="6"/>
      <c r="BK198" s="6"/>
      <c r="BL198" s="6"/>
      <c r="BM198" s="6"/>
      <c r="BN198" s="6"/>
      <c r="BO198" s="6"/>
      <c r="BP198" s="6"/>
      <c r="BQ198" s="6"/>
      <c r="BR198" s="6"/>
      <c r="BS198" s="6"/>
      <c r="BT198" s="8"/>
      <c r="BU198" s="6"/>
      <c r="BV198" s="6"/>
      <c r="BW198" s="6"/>
      <c r="BX198" s="8"/>
      <c r="BY198" s="6"/>
      <c r="CC198" s="7"/>
      <c r="CD198" s="7"/>
      <c r="CE198" s="7"/>
    </row>
    <row r="199" spans="1:83" ht="14" x14ac:dyDescent="0.3">
      <c r="A199" s="2">
        <f t="shared" si="4"/>
        <v>98.5</v>
      </c>
      <c r="B199" s="3">
        <v>695.94899999999996</v>
      </c>
      <c r="C199" s="2">
        <v>609.08799999999997</v>
      </c>
      <c r="D199" s="2">
        <v>533.43100000000004</v>
      </c>
      <c r="E199" s="2">
        <v>653.10599999999999</v>
      </c>
      <c r="F199" s="2">
        <f t="shared" si="17"/>
        <v>-1377.1065000000001</v>
      </c>
      <c r="G199">
        <f t="shared" si="30"/>
        <v>-0.43699999999989814</v>
      </c>
      <c r="H199" s="1">
        <v>794.41899999999998</v>
      </c>
      <c r="I199" s="1">
        <v>692.05799999999999</v>
      </c>
      <c r="J199" s="1">
        <v>1030.107</v>
      </c>
      <c r="K199" s="1">
        <v>689.85900000000004</v>
      </c>
      <c r="L199" s="2">
        <f t="shared" si="31"/>
        <v>-1198.3892500000002</v>
      </c>
      <c r="M199">
        <f t="shared" si="32"/>
        <v>2.1349999999997635</v>
      </c>
      <c r="N199" s="1">
        <v>1843.6669999999999</v>
      </c>
      <c r="O199" s="1">
        <v>868.81899999999996</v>
      </c>
      <c r="P199" s="1">
        <v>1242.0640000000001</v>
      </c>
      <c r="Q199" s="1">
        <v>594.10299999999995</v>
      </c>
      <c r="R199" s="2">
        <f t="shared" si="21"/>
        <v>-862.83674999999994</v>
      </c>
      <c r="S199">
        <f t="shared" si="33"/>
        <v>-7.2795000000000982</v>
      </c>
      <c r="T199" s="1">
        <v>1080.797</v>
      </c>
      <c r="U199" s="1">
        <v>652.89700000000005</v>
      </c>
      <c r="V199" s="1">
        <v>912.07500000000005</v>
      </c>
      <c r="W199" s="1">
        <v>739.52800000000002</v>
      </c>
      <c r="X199" s="2">
        <f t="shared" si="23"/>
        <v>-947.31475</v>
      </c>
      <c r="Y199" s="6"/>
      <c r="Z199" s="7"/>
      <c r="AB199" s="6"/>
      <c r="AC199" s="8"/>
      <c r="AD199" s="2">
        <f t="shared" si="34"/>
        <v>-4.2870000000002619</v>
      </c>
      <c r="AE199" s="2"/>
      <c r="AF199" s="2"/>
      <c r="AG199" s="2"/>
      <c r="AH199" s="2"/>
      <c r="AI199" s="2"/>
      <c r="AJ199" s="6"/>
      <c r="AK199" s="6"/>
      <c r="AL199" s="6"/>
      <c r="AM199" s="6"/>
      <c r="AN199" s="6"/>
      <c r="AO199" s="6"/>
      <c r="AP199" s="6"/>
      <c r="AQ199" s="8"/>
      <c r="AR199" s="6"/>
      <c r="AS199" s="6"/>
      <c r="AT199" s="12"/>
      <c r="AU199" s="6"/>
      <c r="AV199" s="7"/>
      <c r="AW199" s="7"/>
      <c r="AX199" s="7"/>
      <c r="AY199" s="7"/>
      <c r="BB199" s="6"/>
      <c r="BC199" s="6"/>
      <c r="BD199" s="6"/>
      <c r="BE199" s="6"/>
      <c r="BF199" s="6"/>
      <c r="BG199" s="6"/>
      <c r="BH199" s="6"/>
      <c r="BI199" s="6"/>
      <c r="BJ199" s="6"/>
      <c r="BK199" s="6"/>
      <c r="BL199" s="6"/>
      <c r="BM199" s="6"/>
      <c r="BN199" s="6"/>
      <c r="BO199" s="6"/>
      <c r="BP199" s="6"/>
      <c r="BQ199" s="6"/>
      <c r="BR199" s="6"/>
      <c r="BS199" s="6"/>
      <c r="BT199" s="8"/>
      <c r="BU199" s="6"/>
      <c r="BV199" s="6"/>
      <c r="BW199" s="6"/>
      <c r="BX199" s="8"/>
      <c r="BY199" s="6"/>
      <c r="CC199" s="7"/>
      <c r="CD199" s="7"/>
      <c r="CE199" s="7"/>
    </row>
    <row r="200" spans="1:83" ht="14" x14ac:dyDescent="0.3">
      <c r="A200" s="2">
        <f t="shared" si="4"/>
        <v>99</v>
      </c>
      <c r="B200" s="2">
        <v>693.67100000000005</v>
      </c>
      <c r="C200" s="2">
        <v>608.22299999999996</v>
      </c>
      <c r="D200" s="2">
        <v>533.02599999999995</v>
      </c>
      <c r="E200" s="2">
        <v>650.62599999999998</v>
      </c>
      <c r="F200" s="2">
        <f t="shared" si="17"/>
        <v>-1378.6134999999999</v>
      </c>
      <c r="G200">
        <f t="shared" si="30"/>
        <v>-0.98850000000038563</v>
      </c>
      <c r="H200" s="1">
        <v>795.678</v>
      </c>
      <c r="I200" s="10">
        <v>693.17200000000003</v>
      </c>
      <c r="J200" s="1">
        <v>1029.5250000000001</v>
      </c>
      <c r="K200" s="1">
        <v>681.92100000000005</v>
      </c>
      <c r="L200" s="2">
        <f t="shared" si="31"/>
        <v>-1199.9259999999999</v>
      </c>
      <c r="M200">
        <f t="shared" si="32"/>
        <v>-8.056999999999789</v>
      </c>
      <c r="N200" s="1">
        <v>1841.9829999999999</v>
      </c>
      <c r="O200" s="1">
        <v>866.495</v>
      </c>
      <c r="P200" s="1">
        <v>1240.3389999999999</v>
      </c>
      <c r="Q200" s="1">
        <v>594.12</v>
      </c>
      <c r="R200" s="2">
        <f t="shared" si="21"/>
        <v>-864.26575000000003</v>
      </c>
      <c r="S200">
        <f t="shared" si="33"/>
        <v>-5.8024999999997817</v>
      </c>
      <c r="T200" s="1">
        <v>1080.5450000000001</v>
      </c>
      <c r="U200" s="1">
        <v>652.14099999999996</v>
      </c>
      <c r="V200" s="1">
        <v>910.55600000000004</v>
      </c>
      <c r="W200" s="1">
        <v>738.32299999999998</v>
      </c>
      <c r="X200" s="2">
        <f t="shared" si="23"/>
        <v>-948.51524999999992</v>
      </c>
      <c r="Y200" s="6"/>
      <c r="Z200" s="7"/>
      <c r="AB200" s="6"/>
      <c r="AC200" s="8"/>
      <c r="AD200" s="2">
        <f t="shared" si="34"/>
        <v>-1.393500000000131</v>
      </c>
      <c r="AE200" s="2"/>
      <c r="AF200" s="2"/>
      <c r="AG200" s="2"/>
      <c r="AH200" s="2"/>
      <c r="AI200" s="2"/>
      <c r="AJ200" s="6"/>
      <c r="AK200" s="6"/>
      <c r="AL200" s="6"/>
      <c r="AM200" s="6"/>
      <c r="AN200" s="6"/>
      <c r="AO200" s="6"/>
      <c r="AP200" s="6"/>
      <c r="AQ200" s="8"/>
      <c r="AR200" s="6"/>
      <c r="AS200" s="6"/>
      <c r="AT200" s="12"/>
      <c r="AU200" s="6"/>
      <c r="AV200" s="7"/>
      <c r="AW200" s="7"/>
      <c r="AX200" s="7"/>
      <c r="AY200" s="7"/>
      <c r="BB200" s="6"/>
      <c r="BC200" s="6"/>
      <c r="BD200" s="6"/>
      <c r="BE200" s="6"/>
      <c r="BF200" s="6"/>
      <c r="BG200" s="6"/>
      <c r="BH200" s="6"/>
      <c r="BI200" s="6"/>
      <c r="BJ200" s="6"/>
      <c r="BK200" s="6"/>
      <c r="BL200" s="6"/>
      <c r="BM200" s="6"/>
      <c r="BN200" s="6"/>
      <c r="BO200" s="6"/>
      <c r="BP200" s="6"/>
      <c r="BQ200" s="6"/>
      <c r="BR200" s="6"/>
      <c r="BS200" s="6"/>
      <c r="BT200" s="8"/>
      <c r="BU200" s="6"/>
      <c r="BV200" s="6"/>
      <c r="BW200" s="6"/>
      <c r="BX200" s="8"/>
      <c r="BY200" s="6"/>
      <c r="CC200" s="7"/>
      <c r="CD200" s="7"/>
      <c r="CE200" s="7"/>
    </row>
    <row r="201" spans="1:83" ht="14" x14ac:dyDescent="0.3">
      <c r="A201" s="2">
        <f t="shared" si="4"/>
        <v>99.5</v>
      </c>
      <c r="B201" s="2">
        <v>692.91099999999994</v>
      </c>
      <c r="C201" s="2">
        <v>607.803</v>
      </c>
      <c r="D201" s="2">
        <v>533.25</v>
      </c>
      <c r="E201" s="2">
        <v>650.70799999999997</v>
      </c>
      <c r="F201" s="2">
        <f t="shared" si="17"/>
        <v>-1378.8319999999999</v>
      </c>
      <c r="G201">
        <f t="shared" si="30"/>
        <v>-1.9089999999996508</v>
      </c>
      <c r="H201" s="1">
        <v>796.16300000000001</v>
      </c>
      <c r="I201" s="1">
        <v>692.01099999999997</v>
      </c>
      <c r="J201" s="1">
        <v>1027.922</v>
      </c>
      <c r="K201" s="1">
        <v>688.47</v>
      </c>
      <c r="L201" s="2">
        <f t="shared" si="31"/>
        <v>-1198.8585</v>
      </c>
      <c r="M201">
        <f t="shared" si="32"/>
        <v>1.1224999999999454</v>
      </c>
      <c r="N201" s="1">
        <v>1836.3489999999999</v>
      </c>
      <c r="O201" s="1">
        <v>863.42399999999998</v>
      </c>
      <c r="P201" s="1">
        <v>1235.4949999999999</v>
      </c>
      <c r="Q201" s="1">
        <v>593.11</v>
      </c>
      <c r="R201" s="2">
        <f t="shared" si="21"/>
        <v>-867.90550000000007</v>
      </c>
      <c r="S201">
        <f t="shared" si="33"/>
        <v>-5.9529999999999745</v>
      </c>
      <c r="T201" s="1">
        <v>1076.2909999999999</v>
      </c>
      <c r="U201" s="1">
        <v>651.36500000000001</v>
      </c>
      <c r="V201" s="1">
        <v>909.17200000000003</v>
      </c>
      <c r="W201" s="1">
        <v>737.79899999999998</v>
      </c>
      <c r="X201" s="2">
        <f t="shared" si="23"/>
        <v>-950.65875000000005</v>
      </c>
      <c r="Y201" s="6"/>
      <c r="Z201" s="7"/>
      <c r="AB201" s="6"/>
      <c r="AC201" s="8"/>
      <c r="AD201" s="2">
        <f t="shared" si="34"/>
        <v>-1.858499999999367</v>
      </c>
      <c r="AE201" s="2"/>
      <c r="AF201" s="2"/>
      <c r="AG201" s="2"/>
      <c r="AH201" s="2"/>
      <c r="AI201" s="2"/>
      <c r="AJ201" s="6"/>
      <c r="AK201" s="9"/>
      <c r="AL201" s="6"/>
      <c r="AM201" s="6"/>
      <c r="AN201" s="6"/>
      <c r="AO201" s="6"/>
      <c r="AP201" s="6"/>
      <c r="AQ201" s="8"/>
      <c r="AR201" s="6"/>
      <c r="AS201" s="6"/>
      <c r="AT201" s="12"/>
      <c r="AU201" s="6"/>
      <c r="AV201" s="7"/>
      <c r="AW201" s="7"/>
      <c r="AX201" s="7"/>
      <c r="AY201" s="7"/>
      <c r="BB201" s="6"/>
      <c r="BC201" s="6"/>
      <c r="BD201" s="6"/>
      <c r="BE201" s="6"/>
      <c r="BF201" s="6"/>
      <c r="BG201" s="6"/>
      <c r="BH201" s="6"/>
      <c r="BI201" s="6"/>
      <c r="BJ201" s="6"/>
      <c r="BK201" s="6"/>
      <c r="BL201" s="6"/>
      <c r="BM201" s="6"/>
      <c r="BN201" s="6"/>
      <c r="BO201" s="6"/>
      <c r="BP201" s="6"/>
      <c r="BQ201" s="6"/>
      <c r="BR201" s="6"/>
      <c r="BS201" s="6"/>
      <c r="BT201" s="8"/>
      <c r="BU201" s="6"/>
      <c r="BV201" s="6"/>
      <c r="BW201" s="6"/>
      <c r="BX201" s="8"/>
      <c r="BY201" s="6"/>
      <c r="CC201" s="7"/>
      <c r="CD201" s="7"/>
      <c r="CE201" s="7"/>
    </row>
    <row r="202" spans="1:83" ht="14" x14ac:dyDescent="0.3">
      <c r="A202" s="2">
        <f t="shared" si="4"/>
        <v>100</v>
      </c>
      <c r="B202" s="2">
        <v>692.05499999999995</v>
      </c>
      <c r="C202" s="2">
        <v>607.23099999999999</v>
      </c>
      <c r="D202" s="2">
        <v>533.26499999999999</v>
      </c>
      <c r="E202" s="2">
        <v>650.14400000000001</v>
      </c>
      <c r="F202" s="2">
        <f t="shared" si="17"/>
        <v>-1379.3262500000001</v>
      </c>
      <c r="G202">
        <f t="shared" si="30"/>
        <v>-1.3225000000002183</v>
      </c>
      <c r="H202" s="1">
        <v>792.86099999999999</v>
      </c>
      <c r="I202" s="1">
        <v>689.58799999999997</v>
      </c>
      <c r="J202" s="1">
        <v>1023.9109999999999</v>
      </c>
      <c r="K202" s="1">
        <v>682.09199999999998</v>
      </c>
      <c r="L202" s="2">
        <f t="shared" si="31"/>
        <v>-1202.8869999999999</v>
      </c>
      <c r="M202">
        <f t="shared" si="32"/>
        <v>-1.3330000000000837</v>
      </c>
      <c r="N202" s="1">
        <v>1830.423</v>
      </c>
      <c r="O202" s="1">
        <v>862.23199999999997</v>
      </c>
      <c r="P202" s="1">
        <v>1230.7239999999999</v>
      </c>
      <c r="Q202" s="1">
        <v>593.39400000000001</v>
      </c>
      <c r="R202" s="2">
        <f t="shared" si="21"/>
        <v>-870.80674999999997</v>
      </c>
      <c r="S202">
        <f t="shared" si="33"/>
        <v>-8.6680000000001201</v>
      </c>
      <c r="T202" s="1">
        <v>1076.6320000000001</v>
      </c>
      <c r="U202" s="1">
        <v>650.43299999999999</v>
      </c>
      <c r="V202" s="1">
        <v>908.54</v>
      </c>
      <c r="W202" s="1">
        <v>738.09699999999998</v>
      </c>
      <c r="X202" s="2">
        <f t="shared" si="23"/>
        <v>-951.35550000000012</v>
      </c>
      <c r="Y202" s="6"/>
      <c r="Z202" s="7"/>
      <c r="AB202" s="6"/>
      <c r="AC202" s="8"/>
      <c r="AD202" s="2">
        <f t="shared" si="34"/>
        <v>-4.1860000000006039</v>
      </c>
      <c r="AE202" s="2"/>
      <c r="AF202" s="2"/>
      <c r="AG202" s="3"/>
      <c r="AH202" s="2"/>
      <c r="AI202" s="2"/>
      <c r="AJ202" s="6"/>
      <c r="AK202" s="9"/>
      <c r="AL202" s="6"/>
      <c r="AM202" s="6"/>
      <c r="AN202" s="6"/>
      <c r="AO202" s="6"/>
      <c r="AP202" s="6"/>
      <c r="AQ202" s="8"/>
      <c r="AR202" s="6"/>
      <c r="AS202" s="6"/>
      <c r="AT202" s="8"/>
      <c r="AU202" s="6"/>
      <c r="AV202" s="7"/>
      <c r="AW202" s="7"/>
      <c r="AX202" s="7"/>
      <c r="AY202" s="7"/>
      <c r="BB202" s="6"/>
      <c r="BC202" s="6"/>
      <c r="BD202" s="6"/>
      <c r="BE202" s="6"/>
      <c r="BF202" s="6"/>
      <c r="BG202" s="6"/>
      <c r="BH202" s="6"/>
      <c r="BI202" s="6"/>
      <c r="BJ202" s="6"/>
      <c r="BK202" s="6"/>
      <c r="BL202" s="6"/>
      <c r="BM202" s="6"/>
      <c r="BN202" s="6"/>
      <c r="BO202" s="6"/>
      <c r="BP202" s="6"/>
      <c r="BQ202" s="6"/>
      <c r="BR202" s="6"/>
      <c r="BS202" s="6"/>
      <c r="BT202" s="8"/>
      <c r="BU202" s="6"/>
      <c r="BV202" s="6"/>
      <c r="BW202" s="6"/>
      <c r="BX202" s="8"/>
      <c r="BY202" s="6"/>
      <c r="CC202" s="7"/>
      <c r="CD202" s="7"/>
      <c r="CE202" s="7"/>
    </row>
    <row r="203" spans="1:83" ht="14" x14ac:dyDescent="0.3">
      <c r="A203" s="2">
        <f t="shared" si="4"/>
        <v>100.5</v>
      </c>
      <c r="B203" s="2">
        <v>691.00199999999995</v>
      </c>
      <c r="C203" s="2">
        <v>606.10400000000004</v>
      </c>
      <c r="D203" s="2">
        <v>532.61099999999999</v>
      </c>
      <c r="E203" s="2">
        <v>649.16</v>
      </c>
      <c r="F203" s="2">
        <f t="shared" si="17"/>
        <v>-1380.2807499999999</v>
      </c>
      <c r="G203">
        <f t="shared" si="30"/>
        <v>-1.9655000000002474</v>
      </c>
      <c r="H203" s="1">
        <v>790.91099999999994</v>
      </c>
      <c r="I203" s="1">
        <v>688.70500000000004</v>
      </c>
      <c r="J203" s="1">
        <v>1023.021</v>
      </c>
      <c r="K203" s="1">
        <v>688.06</v>
      </c>
      <c r="L203" s="2">
        <f t="shared" si="31"/>
        <v>-1202.32575</v>
      </c>
      <c r="M203">
        <f t="shared" si="32"/>
        <v>-0.63800000000037471</v>
      </c>
      <c r="N203" s="1">
        <v>1825.567</v>
      </c>
      <c r="O203" s="1">
        <v>859.54600000000005</v>
      </c>
      <c r="P203" s="1">
        <v>1226.7149999999999</v>
      </c>
      <c r="Q203" s="1">
        <v>593.03899999999999</v>
      </c>
      <c r="R203" s="2">
        <f t="shared" si="21"/>
        <v>-873.78324999999995</v>
      </c>
      <c r="S203">
        <f t="shared" si="33"/>
        <v>-3.2734999999997854</v>
      </c>
      <c r="T203" s="1">
        <v>1073.913</v>
      </c>
      <c r="U203" s="1">
        <v>650.47400000000005</v>
      </c>
      <c r="V203" s="1">
        <v>908</v>
      </c>
      <c r="W203" s="1">
        <v>736.13499999999999</v>
      </c>
      <c r="X203" s="2">
        <f t="shared" si="23"/>
        <v>-952.2847499999998</v>
      </c>
      <c r="Y203" s="6"/>
      <c r="Z203" s="7"/>
      <c r="AB203" s="6"/>
      <c r="AC203" s="8"/>
      <c r="AD203" s="2">
        <f t="shared" si="34"/>
        <v>-0.74749999999949068</v>
      </c>
      <c r="AE203" s="2"/>
      <c r="AF203" s="2"/>
      <c r="AG203" s="2"/>
      <c r="AH203" s="2"/>
      <c r="AI203" s="2"/>
      <c r="AJ203" s="6"/>
      <c r="AK203" s="9"/>
      <c r="AL203" s="6"/>
      <c r="AM203" s="6"/>
      <c r="AN203" s="9"/>
      <c r="AO203" s="6"/>
      <c r="AP203" s="6"/>
      <c r="AQ203" s="8"/>
      <c r="AR203" s="6"/>
      <c r="AS203" s="6"/>
      <c r="AT203" s="8"/>
      <c r="AU203" s="6"/>
      <c r="AV203" s="7"/>
      <c r="AW203" s="7"/>
      <c r="AX203" s="7"/>
      <c r="AY203" s="7"/>
      <c r="BB203" s="6"/>
      <c r="BC203" s="6"/>
      <c r="BD203" s="6"/>
      <c r="BE203" s="6"/>
      <c r="BF203" s="6"/>
      <c r="BG203" s="6"/>
      <c r="BH203" s="6"/>
      <c r="BI203" s="6"/>
      <c r="BJ203" s="6"/>
      <c r="BK203" s="6"/>
      <c r="BL203" s="6"/>
      <c r="BM203" s="6"/>
      <c r="BN203" s="6"/>
      <c r="BO203" s="6"/>
      <c r="BP203" s="6"/>
      <c r="BQ203" s="8"/>
      <c r="BR203" s="6"/>
      <c r="BS203" s="6"/>
      <c r="BT203" s="8"/>
      <c r="BU203" s="6"/>
      <c r="BV203" s="6"/>
      <c r="BW203" s="6"/>
      <c r="BX203" s="8"/>
      <c r="BY203" s="6"/>
      <c r="CC203" s="7"/>
      <c r="CD203" s="7"/>
      <c r="CE203" s="7"/>
    </row>
    <row r="204" spans="1:83" ht="14" x14ac:dyDescent="0.3">
      <c r="A204" s="2">
        <f t="shared" si="4"/>
        <v>101</v>
      </c>
      <c r="B204" s="2">
        <v>690.77200000000005</v>
      </c>
      <c r="C204" s="2">
        <v>606.81500000000005</v>
      </c>
      <c r="D204" s="2">
        <v>532.81600000000003</v>
      </c>
      <c r="E204" s="2">
        <v>645.82899999999995</v>
      </c>
      <c r="F204" s="2">
        <f t="shared" si="17"/>
        <v>-1380.942</v>
      </c>
      <c r="G204">
        <f t="shared" si="30"/>
        <v>-0.74600000000009459</v>
      </c>
      <c r="H204" s="1">
        <v>790.63300000000004</v>
      </c>
      <c r="I204" s="1">
        <v>690.245</v>
      </c>
      <c r="J204" s="1">
        <v>1023.568</v>
      </c>
      <c r="K204" s="1">
        <v>683.58500000000004</v>
      </c>
      <c r="L204" s="2">
        <f t="shared" si="31"/>
        <v>-1202.99225</v>
      </c>
      <c r="M204">
        <f t="shared" si="32"/>
        <v>-6.2419999999992797</v>
      </c>
      <c r="N204" s="1">
        <v>1815.373</v>
      </c>
      <c r="O204" s="1">
        <v>859.495</v>
      </c>
      <c r="P204" s="1">
        <v>1221.8630000000001</v>
      </c>
      <c r="Q204" s="1">
        <v>590.79999999999995</v>
      </c>
      <c r="R204" s="2">
        <f t="shared" si="21"/>
        <v>-878.11725000000001</v>
      </c>
      <c r="S204">
        <f t="shared" si="33"/>
        <v>-5.8185000000003129</v>
      </c>
      <c r="T204" s="1">
        <v>1071.6990000000001</v>
      </c>
      <c r="U204" s="1">
        <v>649.89200000000005</v>
      </c>
      <c r="V204" s="1">
        <v>905.50300000000004</v>
      </c>
      <c r="W204" s="1">
        <v>734.22500000000002</v>
      </c>
      <c r="X204" s="2">
        <f t="shared" si="23"/>
        <v>-954.37775000000011</v>
      </c>
      <c r="Y204" s="6"/>
      <c r="Z204" s="7"/>
      <c r="AB204" s="6"/>
      <c r="AC204" s="8"/>
      <c r="AD204" s="2">
        <f t="shared" si="34"/>
        <v>-6.8969999999999345</v>
      </c>
      <c r="AE204" s="2"/>
      <c r="AF204" s="2"/>
      <c r="AG204" s="2"/>
      <c r="AH204" s="2"/>
      <c r="AI204" s="2"/>
      <c r="AJ204" s="6"/>
      <c r="AK204" s="6"/>
      <c r="AL204" s="6"/>
      <c r="AM204" s="6"/>
      <c r="AN204" s="6"/>
      <c r="AO204" s="6"/>
      <c r="AP204" s="6"/>
      <c r="AQ204" s="8"/>
      <c r="AR204" s="6"/>
      <c r="AS204" s="6"/>
      <c r="AT204" s="8"/>
      <c r="AU204" s="6"/>
      <c r="AV204" s="7"/>
      <c r="AW204" s="7"/>
      <c r="AX204" s="7"/>
      <c r="AY204" s="7"/>
      <c r="BB204" s="6"/>
      <c r="BC204" s="6"/>
      <c r="BD204" s="6"/>
      <c r="BE204" s="6"/>
      <c r="BF204" s="6"/>
      <c r="BG204" s="6"/>
      <c r="BH204" s="6"/>
      <c r="BI204" s="6"/>
      <c r="BJ204" s="6"/>
      <c r="BK204" s="6"/>
      <c r="BL204" s="6"/>
      <c r="BM204" s="6"/>
      <c r="BN204" s="6"/>
      <c r="BO204" s="6"/>
      <c r="BP204" s="6"/>
      <c r="BQ204" s="8"/>
      <c r="BR204" s="6"/>
      <c r="BS204" s="6"/>
      <c r="BT204" s="8"/>
      <c r="BU204" s="6"/>
      <c r="BV204" s="6"/>
      <c r="BW204" s="6"/>
      <c r="BX204" s="8"/>
      <c r="BY204" s="6"/>
      <c r="CC204" s="7"/>
      <c r="CD204" s="7"/>
      <c r="CE204" s="7"/>
    </row>
    <row r="205" spans="1:83" ht="14" x14ac:dyDescent="0.3">
      <c r="A205" s="2">
        <f t="shared" si="4"/>
        <v>101.5</v>
      </c>
      <c r="B205" s="2">
        <v>690.94299999999998</v>
      </c>
      <c r="C205" s="2">
        <v>604.12300000000005</v>
      </c>
      <c r="D205" s="2">
        <v>532.06600000000003</v>
      </c>
      <c r="E205" s="2">
        <v>645.16899999999998</v>
      </c>
      <c r="F205" s="2">
        <f t="shared" si="17"/>
        <v>-1381.9247500000001</v>
      </c>
      <c r="G205">
        <f t="shared" si="30"/>
        <v>-1.757499999999709</v>
      </c>
      <c r="H205" s="1">
        <v>790.27599999999995</v>
      </c>
      <c r="I205" s="1">
        <v>689.52499999999998</v>
      </c>
      <c r="J205" s="1">
        <v>1021.495</v>
      </c>
      <c r="K205" s="1">
        <v>685.45899999999995</v>
      </c>
      <c r="L205" s="2">
        <f t="shared" si="31"/>
        <v>-1203.3112500000002</v>
      </c>
      <c r="M205">
        <f t="shared" si="32"/>
        <v>2.8559999999997672</v>
      </c>
      <c r="N205" s="1">
        <v>1813.932</v>
      </c>
      <c r="O205" s="1">
        <v>857.13</v>
      </c>
      <c r="P205" s="1">
        <v>1219.0550000000001</v>
      </c>
      <c r="Q205" s="1">
        <v>590.86699999999996</v>
      </c>
      <c r="R205" s="2">
        <f t="shared" si="21"/>
        <v>-879.75399999999991</v>
      </c>
      <c r="S205">
        <f t="shared" si="33"/>
        <v>-8.1469999999999345</v>
      </c>
      <c r="T205" s="1">
        <v>1074.5820000000001</v>
      </c>
      <c r="U205" s="1">
        <v>648.42700000000002</v>
      </c>
      <c r="V205" s="1">
        <v>904.779</v>
      </c>
      <c r="W205" s="1">
        <v>734.49900000000002</v>
      </c>
      <c r="X205" s="2">
        <f t="shared" si="23"/>
        <v>-954.75149999999985</v>
      </c>
      <c r="Y205" s="6"/>
      <c r="Z205" s="7"/>
      <c r="AB205" s="6"/>
      <c r="AC205" s="8"/>
      <c r="AD205" s="2">
        <f t="shared" si="34"/>
        <v>1.0604999999995925</v>
      </c>
      <c r="AE205" s="2"/>
      <c r="AF205" s="2"/>
      <c r="AG205" s="2"/>
      <c r="AH205" s="2"/>
      <c r="AI205" s="2"/>
      <c r="AJ205" s="6"/>
      <c r="AK205" s="9"/>
      <c r="AL205" s="6"/>
      <c r="AM205" s="6"/>
      <c r="AN205" s="6"/>
      <c r="AO205" s="6"/>
      <c r="AP205" s="6"/>
      <c r="AQ205" s="8"/>
      <c r="AR205" s="6"/>
      <c r="AS205" s="6"/>
      <c r="AT205" s="8"/>
      <c r="AU205" s="6"/>
      <c r="AV205" s="7"/>
      <c r="AW205" s="7"/>
      <c r="AX205" s="7"/>
      <c r="AY205" s="7"/>
      <c r="BB205" s="6"/>
      <c r="BC205" s="6"/>
      <c r="BD205" s="6"/>
      <c r="BE205" s="6"/>
      <c r="BF205" s="6"/>
      <c r="BG205" s="6"/>
      <c r="BH205" s="6"/>
      <c r="BI205" s="6"/>
      <c r="BJ205" s="6"/>
      <c r="BK205" s="6"/>
      <c r="BL205" s="6"/>
      <c r="BM205" s="6"/>
      <c r="BN205" s="6"/>
      <c r="BO205" s="6"/>
      <c r="BP205" s="6"/>
      <c r="BQ205" s="8"/>
      <c r="BR205" s="6"/>
      <c r="BS205" s="6"/>
      <c r="BT205" s="8"/>
      <c r="BU205" s="6"/>
      <c r="BV205" s="6"/>
      <c r="BW205" s="6"/>
      <c r="BX205" s="8"/>
      <c r="BY205" s="6"/>
      <c r="CC205" s="7"/>
      <c r="CD205" s="7"/>
      <c r="CE205" s="7"/>
    </row>
    <row r="206" spans="1:83" ht="14" x14ac:dyDescent="0.3">
      <c r="A206" s="2">
        <f t="shared" si="4"/>
        <v>102</v>
      </c>
      <c r="B206" s="2">
        <v>689.57899999999995</v>
      </c>
      <c r="C206" s="2">
        <v>604.92899999999997</v>
      </c>
      <c r="D206" s="2">
        <v>531.75699999999995</v>
      </c>
      <c r="E206" s="2">
        <v>644.54399999999998</v>
      </c>
      <c r="F206" s="2">
        <f t="shared" si="17"/>
        <v>-1382.2977500000002</v>
      </c>
      <c r="G206">
        <f t="shared" si="30"/>
        <v>-2.3959999999997308</v>
      </c>
      <c r="H206" s="1">
        <v>790.45699999999999</v>
      </c>
      <c r="I206" s="1">
        <v>687.48900000000003</v>
      </c>
      <c r="J206" s="1">
        <v>1019.84</v>
      </c>
      <c r="K206" s="1">
        <v>676.48500000000001</v>
      </c>
      <c r="L206" s="2">
        <f t="shared" si="31"/>
        <v>-1206.4322499999998</v>
      </c>
      <c r="M206">
        <f t="shared" si="32"/>
        <v>-7.6075000000000728</v>
      </c>
      <c r="N206" s="1">
        <v>1807.873</v>
      </c>
      <c r="O206" s="1">
        <v>856.77599999999995</v>
      </c>
      <c r="P206" s="1">
        <v>1214.394</v>
      </c>
      <c r="Q206" s="1">
        <v>590.30399999999997</v>
      </c>
      <c r="R206" s="2">
        <f t="shared" si="21"/>
        <v>-882.66325000000006</v>
      </c>
      <c r="S206">
        <f t="shared" si="33"/>
        <v>-4.0695000000000618</v>
      </c>
      <c r="T206" s="1">
        <v>1064.902</v>
      </c>
      <c r="U206" s="1">
        <v>647.40700000000004</v>
      </c>
      <c r="V206" s="1">
        <v>903.74199999999996</v>
      </c>
      <c r="W206" s="1">
        <v>733.06500000000005</v>
      </c>
      <c r="X206" s="2">
        <f t="shared" si="23"/>
        <v>-958.19999999999982</v>
      </c>
      <c r="Y206" s="6"/>
      <c r="Z206" s="7"/>
      <c r="AB206" s="6"/>
      <c r="AC206" s="8"/>
      <c r="AD206" s="2">
        <f t="shared" si="34"/>
        <v>-4.3249999999998181</v>
      </c>
      <c r="AE206" s="3"/>
      <c r="AF206" s="2"/>
      <c r="AG206" s="3"/>
      <c r="AH206" s="2"/>
      <c r="AI206" s="2"/>
      <c r="AJ206" s="6"/>
      <c r="AK206" s="6"/>
      <c r="AL206" s="6"/>
      <c r="AM206" s="6"/>
      <c r="AN206" s="6"/>
      <c r="AO206" s="6"/>
      <c r="AP206" s="6"/>
      <c r="AQ206" s="8"/>
      <c r="AR206" s="6"/>
      <c r="AS206" s="6"/>
      <c r="AT206" s="8"/>
      <c r="AU206" s="6"/>
      <c r="AV206" s="7"/>
      <c r="AW206" s="7"/>
      <c r="AX206" s="7"/>
      <c r="AY206" s="7"/>
      <c r="BB206" s="6"/>
      <c r="BC206" s="6"/>
      <c r="BD206" s="6"/>
      <c r="BE206" s="6"/>
      <c r="BF206" s="6"/>
      <c r="BG206" s="6"/>
      <c r="BH206" s="6"/>
      <c r="BI206" s="6"/>
      <c r="BJ206" s="6"/>
      <c r="BK206" s="6"/>
      <c r="BL206" s="6"/>
      <c r="BM206" s="6"/>
      <c r="BN206" s="6"/>
      <c r="BO206" s="6"/>
      <c r="BP206" s="9"/>
      <c r="BQ206" s="8"/>
      <c r="BR206" s="6"/>
      <c r="BS206" s="6"/>
      <c r="BT206" s="8"/>
      <c r="BU206" s="6"/>
      <c r="BV206" s="6"/>
      <c r="BW206" s="6"/>
      <c r="BX206" s="8"/>
      <c r="BY206" s="6"/>
      <c r="CC206" s="7"/>
      <c r="CD206" s="7"/>
      <c r="CE206" s="7"/>
    </row>
    <row r="207" spans="1:83" ht="14" x14ac:dyDescent="0.3">
      <c r="A207" s="2">
        <f t="shared" si="4"/>
        <v>102.5</v>
      </c>
      <c r="B207" s="2">
        <v>689.07500000000005</v>
      </c>
      <c r="C207" s="2">
        <v>603.505</v>
      </c>
      <c r="D207" s="2">
        <v>531.30799999999999</v>
      </c>
      <c r="E207" s="3">
        <v>643.40599999999995</v>
      </c>
      <c r="F207" s="2">
        <f t="shared" si="17"/>
        <v>-1383.1765</v>
      </c>
      <c r="G207">
        <f t="shared" si="30"/>
        <v>-3.9369999999998981</v>
      </c>
      <c r="H207" s="1">
        <v>788.48199999999997</v>
      </c>
      <c r="I207" s="1">
        <v>687.63</v>
      </c>
      <c r="J207" s="1">
        <v>1018.526</v>
      </c>
      <c r="K207" s="1">
        <v>685.34500000000003</v>
      </c>
      <c r="L207" s="2">
        <f t="shared" si="31"/>
        <v>-1205.00425</v>
      </c>
      <c r="M207">
        <f t="shared" si="32"/>
        <v>-0.28849999999965803</v>
      </c>
      <c r="N207" s="1">
        <v>1799.567</v>
      </c>
      <c r="O207" s="1">
        <v>854.98099999999999</v>
      </c>
      <c r="P207" s="1">
        <v>1209.433</v>
      </c>
      <c r="Q207" s="1">
        <v>589.072</v>
      </c>
      <c r="R207" s="2">
        <f t="shared" si="21"/>
        <v>-886.73675000000003</v>
      </c>
      <c r="S207">
        <f t="shared" si="33"/>
        <v>-8.4635000000002947</v>
      </c>
      <c r="T207" s="1">
        <v>1067.7809999999999</v>
      </c>
      <c r="U207" s="1">
        <v>647.58399999999995</v>
      </c>
      <c r="V207" s="1">
        <v>903.18600000000004</v>
      </c>
      <c r="W207" s="1">
        <v>732.91899999999998</v>
      </c>
      <c r="X207" s="2">
        <f t="shared" si="23"/>
        <v>-957.66975000000002</v>
      </c>
      <c r="Y207" s="6"/>
      <c r="Z207" s="7"/>
      <c r="AB207" s="8"/>
      <c r="AC207" s="8"/>
      <c r="AD207" s="2">
        <f t="shared" si="34"/>
        <v>-3.4695000000001528</v>
      </c>
      <c r="AE207" s="2"/>
      <c r="AF207" s="2"/>
      <c r="AG207" s="3"/>
      <c r="AH207" s="2"/>
      <c r="AI207" s="2"/>
      <c r="AJ207" s="6"/>
      <c r="AK207" s="6"/>
      <c r="AL207" s="6"/>
      <c r="AM207" s="6"/>
      <c r="AN207" s="6"/>
      <c r="AO207" s="6"/>
      <c r="AP207" s="6"/>
      <c r="AQ207" s="8"/>
      <c r="AR207" s="6"/>
      <c r="AS207" s="6"/>
      <c r="AT207" s="8"/>
      <c r="AU207" s="6"/>
      <c r="AV207" s="7"/>
      <c r="AW207" s="7"/>
      <c r="AX207" s="7"/>
      <c r="AY207" s="7"/>
      <c r="BB207" s="6"/>
      <c r="BC207" s="6"/>
      <c r="BD207" s="6"/>
      <c r="BE207" s="6"/>
      <c r="BF207" s="6"/>
      <c r="BG207" s="6"/>
      <c r="BH207" s="6"/>
      <c r="BI207" s="6"/>
      <c r="BJ207" s="6"/>
      <c r="BK207" s="6"/>
      <c r="BL207" s="6"/>
      <c r="BM207" s="6"/>
      <c r="BN207" s="6"/>
      <c r="BO207" s="6"/>
      <c r="BP207" s="6"/>
      <c r="BQ207" s="8"/>
      <c r="BR207" s="6"/>
      <c r="BS207" s="6"/>
      <c r="BT207" s="8"/>
      <c r="BU207" s="6"/>
      <c r="BV207" s="6"/>
      <c r="BW207" s="6"/>
      <c r="BX207" s="8"/>
      <c r="BY207" s="6"/>
      <c r="CC207" s="7"/>
      <c r="CD207" s="7"/>
      <c r="CE207" s="7"/>
    </row>
    <row r="208" spans="1:83" ht="14" x14ac:dyDescent="0.3">
      <c r="A208" s="2">
        <f t="shared" si="4"/>
        <v>103</v>
      </c>
      <c r="B208" s="2">
        <v>687.86300000000006</v>
      </c>
      <c r="C208" s="2">
        <v>602.63400000000001</v>
      </c>
      <c r="D208" s="2">
        <v>531.50199999999995</v>
      </c>
      <c r="E208" s="2">
        <v>640.50300000000004</v>
      </c>
      <c r="F208" s="2">
        <f t="shared" si="17"/>
        <v>-1384.3744999999999</v>
      </c>
      <c r="G208">
        <f t="shared" si="30"/>
        <v>-2.0075000000006185</v>
      </c>
      <c r="H208" s="1">
        <v>787.32399999999996</v>
      </c>
      <c r="I208" s="1">
        <v>685.94200000000001</v>
      </c>
      <c r="J208" s="1">
        <v>1016.758</v>
      </c>
      <c r="K208" s="1">
        <v>674.74400000000003</v>
      </c>
      <c r="L208" s="2">
        <f t="shared" si="31"/>
        <v>-1208.808</v>
      </c>
      <c r="M208">
        <f t="shared" si="32"/>
        <v>-3.1510000000007494</v>
      </c>
      <c r="N208" s="1">
        <v>1799.2860000000001</v>
      </c>
      <c r="O208" s="1">
        <v>850.17499999999995</v>
      </c>
      <c r="P208" s="1">
        <v>1206.2929999999999</v>
      </c>
      <c r="Q208" s="1">
        <v>589.16</v>
      </c>
      <c r="R208" s="2">
        <f t="shared" si="21"/>
        <v>-888.77150000000006</v>
      </c>
      <c r="S208">
        <f t="shared" si="33"/>
        <v>-5.8429999999993925</v>
      </c>
      <c r="T208" s="1">
        <v>1061.789</v>
      </c>
      <c r="U208" s="1">
        <v>646.803</v>
      </c>
      <c r="V208" s="1">
        <v>902.63800000000003</v>
      </c>
      <c r="W208" s="1">
        <v>731.80399999999997</v>
      </c>
      <c r="X208" s="2">
        <f t="shared" si="23"/>
        <v>-959.83224999999993</v>
      </c>
      <c r="Y208" s="6"/>
      <c r="Z208" s="7"/>
      <c r="AB208" s="8"/>
      <c r="AC208" s="8"/>
      <c r="AD208" s="2">
        <f t="shared" si="34"/>
        <v>-1.8289999999997235</v>
      </c>
      <c r="AE208" s="2"/>
      <c r="AF208" s="3"/>
      <c r="AG208" s="2"/>
      <c r="AH208" s="2"/>
      <c r="AI208" s="2"/>
      <c r="AJ208" s="6"/>
      <c r="AK208" s="6"/>
      <c r="AL208" s="6"/>
      <c r="AM208" s="6"/>
      <c r="AN208" s="6"/>
      <c r="AO208" s="6"/>
      <c r="AP208" s="6"/>
      <c r="AQ208" s="8"/>
      <c r="AR208" s="9"/>
      <c r="AS208" s="6"/>
      <c r="AT208" s="8"/>
      <c r="AU208" s="6"/>
      <c r="AV208" s="7"/>
      <c r="AW208" s="7"/>
      <c r="AX208" s="7"/>
      <c r="AY208" s="7"/>
      <c r="BB208" s="6"/>
      <c r="BC208" s="6"/>
      <c r="BD208" s="6"/>
      <c r="BE208" s="6"/>
      <c r="BF208" s="6"/>
      <c r="BG208" s="6"/>
      <c r="BH208" s="6"/>
      <c r="BI208" s="6"/>
      <c r="BJ208" s="6"/>
      <c r="BK208" s="9"/>
      <c r="BL208" s="6"/>
      <c r="BM208" s="6"/>
      <c r="BN208" s="6"/>
      <c r="BO208" s="6"/>
      <c r="BP208" s="6"/>
      <c r="BQ208" s="6"/>
      <c r="BR208" s="6"/>
      <c r="BS208" s="6"/>
      <c r="BT208" s="8"/>
      <c r="BU208" s="6"/>
      <c r="BV208" s="6"/>
      <c r="BW208" s="6"/>
      <c r="BX208" s="8"/>
      <c r="BY208" s="6"/>
      <c r="CC208" s="7"/>
      <c r="CD208" s="7"/>
      <c r="CE208" s="7"/>
    </row>
    <row r="209" spans="1:83" ht="14" x14ac:dyDescent="0.3">
      <c r="A209" s="2">
        <f t="shared" si="4"/>
        <v>103.5</v>
      </c>
      <c r="B209" s="2">
        <v>685.95899999999995</v>
      </c>
      <c r="C209" s="2">
        <v>601.34500000000003</v>
      </c>
      <c r="D209" s="2">
        <v>529.798</v>
      </c>
      <c r="E209" s="2">
        <v>637.52599999999995</v>
      </c>
      <c r="F209" s="2">
        <f t="shared" si="17"/>
        <v>-1386.3429999999998</v>
      </c>
      <c r="G209">
        <f t="shared" si="30"/>
        <v>-0.10750000000007276</v>
      </c>
      <c r="H209" s="1">
        <v>788.03899999999999</v>
      </c>
      <c r="I209" s="1">
        <v>685.60900000000004</v>
      </c>
      <c r="J209" s="1">
        <v>1015.391</v>
      </c>
      <c r="K209" s="1">
        <v>675.15200000000004</v>
      </c>
      <c r="L209" s="2">
        <f t="shared" si="31"/>
        <v>-1208.9522499999998</v>
      </c>
      <c r="M209">
        <f t="shared" si="32"/>
        <v>0.56850000000031287</v>
      </c>
      <c r="N209" s="1">
        <v>1787.329</v>
      </c>
      <c r="O209" s="1">
        <v>851.13699999999994</v>
      </c>
      <c r="P209" s="1">
        <v>1201.818</v>
      </c>
      <c r="Q209" s="1">
        <v>587.70299999999997</v>
      </c>
      <c r="R209" s="2">
        <f t="shared" si="21"/>
        <v>-893.00325000000021</v>
      </c>
      <c r="S209">
        <f t="shared" si="33"/>
        <v>-4.4630000000001928</v>
      </c>
      <c r="T209" s="1">
        <v>1061.47</v>
      </c>
      <c r="U209" s="1">
        <v>646.13099999999997</v>
      </c>
      <c r="V209" s="1">
        <v>900</v>
      </c>
      <c r="W209" s="1">
        <v>730.22</v>
      </c>
      <c r="X209" s="2">
        <f t="shared" si="23"/>
        <v>-961.56700000000001</v>
      </c>
      <c r="Y209" s="6"/>
      <c r="Z209" s="7"/>
      <c r="AB209" s="8"/>
      <c r="AC209" s="8"/>
      <c r="AD209" s="2">
        <f t="shared" si="34"/>
        <v>-3.8420000000000982</v>
      </c>
      <c r="AE209" s="2"/>
      <c r="AF209" s="2"/>
      <c r="AG209" s="2"/>
      <c r="AH209" s="2"/>
      <c r="AI209" s="2"/>
      <c r="AJ209" s="6"/>
      <c r="AK209" s="6"/>
      <c r="AL209" s="6"/>
      <c r="AM209" s="6"/>
      <c r="AN209" s="6"/>
      <c r="AO209" s="6"/>
      <c r="AP209" s="6"/>
      <c r="AQ209" s="8"/>
      <c r="AR209" s="6"/>
      <c r="AS209" s="6"/>
      <c r="AT209" s="12"/>
      <c r="AU209" s="6"/>
      <c r="AV209" s="7"/>
      <c r="AW209" s="7"/>
      <c r="AX209" s="7"/>
      <c r="AY209" s="7"/>
      <c r="BB209" s="6"/>
      <c r="BC209" s="6"/>
      <c r="BD209" s="6"/>
      <c r="BE209" s="6"/>
      <c r="BF209" s="6"/>
      <c r="BG209" s="6"/>
      <c r="BH209" s="6"/>
      <c r="BI209" s="6"/>
      <c r="BJ209" s="6"/>
      <c r="BK209" s="6"/>
      <c r="BL209" s="6"/>
      <c r="BM209" s="6"/>
      <c r="BN209" s="9"/>
      <c r="BO209" s="6"/>
      <c r="BP209" s="6"/>
      <c r="BQ209" s="6"/>
      <c r="BR209" s="6"/>
      <c r="BS209" s="6"/>
      <c r="BT209" s="8"/>
      <c r="BU209" s="6"/>
      <c r="BV209" s="6"/>
      <c r="BW209" s="6"/>
      <c r="BX209" s="8"/>
      <c r="BY209" s="6"/>
      <c r="CC209" s="7"/>
      <c r="CD209" s="7"/>
      <c r="CE209" s="7"/>
    </row>
    <row r="210" spans="1:83" ht="14" x14ac:dyDescent="0.3">
      <c r="A210" s="2">
        <f t="shared" si="4"/>
        <v>104</v>
      </c>
      <c r="B210" s="2">
        <v>685.37199999999996</v>
      </c>
      <c r="C210" s="2">
        <v>599.86400000000003</v>
      </c>
      <c r="D210" s="2">
        <v>529.755</v>
      </c>
      <c r="E210" s="2">
        <v>635.62199999999996</v>
      </c>
      <c r="F210" s="2">
        <f t="shared" si="17"/>
        <v>-1387.3467500000002</v>
      </c>
      <c r="G210">
        <f t="shared" si="30"/>
        <v>-4.7579999999998108</v>
      </c>
      <c r="H210" s="1">
        <v>787.45799999999997</v>
      </c>
      <c r="I210" s="1">
        <v>684.60799999999995</v>
      </c>
      <c r="J210" s="1">
        <v>1013.292</v>
      </c>
      <c r="K210" s="1">
        <v>672.53099999999995</v>
      </c>
      <c r="L210" s="2">
        <f t="shared" si="31"/>
        <v>-1210.5277500000002</v>
      </c>
      <c r="M210">
        <f t="shared" si="32"/>
        <v>-7.5704999999998108</v>
      </c>
      <c r="N210" s="1">
        <v>1781.6590000000001</v>
      </c>
      <c r="O210" s="1">
        <v>848.85500000000002</v>
      </c>
      <c r="P210" s="1">
        <v>1198.5540000000001</v>
      </c>
      <c r="Q210" s="1">
        <v>587.23299999999995</v>
      </c>
      <c r="R210" s="2">
        <f t="shared" si="21"/>
        <v>-895.9247499999999</v>
      </c>
      <c r="S210">
        <f t="shared" si="33"/>
        <v>-11.417000000000371</v>
      </c>
      <c r="T210" s="1">
        <v>1063.356</v>
      </c>
      <c r="U210" s="1">
        <v>645.04300000000001</v>
      </c>
      <c r="V210" s="1">
        <v>898.31600000000003</v>
      </c>
      <c r="W210" s="1">
        <v>729.298</v>
      </c>
      <c r="X210" s="2">
        <f t="shared" si="23"/>
        <v>-962.48149999999987</v>
      </c>
      <c r="Y210" s="6"/>
      <c r="Z210" s="7"/>
      <c r="AB210" s="8"/>
      <c r="AC210" s="8"/>
      <c r="AD210" s="2">
        <f t="shared" si="34"/>
        <v>6.500000000005457E-2</v>
      </c>
      <c r="AE210" s="3"/>
      <c r="AF210" s="2"/>
      <c r="AG210" s="3"/>
      <c r="AH210" s="2"/>
      <c r="AI210" s="2"/>
      <c r="AJ210" s="6"/>
      <c r="AK210" s="6"/>
      <c r="AL210" s="6"/>
      <c r="AM210" s="6"/>
      <c r="AN210" s="6"/>
      <c r="AO210" s="6"/>
      <c r="AP210" s="6"/>
      <c r="AQ210" s="8"/>
      <c r="AR210" s="6"/>
      <c r="AS210" s="6"/>
      <c r="AT210" s="12"/>
      <c r="AU210" s="6"/>
      <c r="AV210" s="7"/>
      <c r="AW210" s="7"/>
      <c r="AX210" s="7"/>
      <c r="AY210" s="7"/>
      <c r="BB210" s="6"/>
      <c r="BC210" s="6"/>
      <c r="BD210" s="6"/>
      <c r="BE210" s="6"/>
      <c r="BF210" s="6"/>
      <c r="BG210" s="6"/>
      <c r="BH210" s="6"/>
      <c r="BI210" s="6"/>
      <c r="BJ210" s="6"/>
      <c r="BK210" s="6"/>
      <c r="BL210" s="6"/>
      <c r="BM210" s="6"/>
      <c r="BN210" s="6"/>
      <c r="BO210" s="8"/>
      <c r="BP210" s="6"/>
      <c r="BQ210" s="8"/>
      <c r="BR210" s="6"/>
      <c r="BS210" s="6"/>
      <c r="BT210" s="8"/>
      <c r="BU210" s="6"/>
      <c r="BV210" s="6"/>
      <c r="BW210" s="6"/>
      <c r="BX210" s="8"/>
      <c r="BY210" s="9"/>
      <c r="CC210" s="7"/>
      <c r="CD210" s="7"/>
      <c r="CE210" s="7"/>
    </row>
    <row r="211" spans="1:83" ht="14" x14ac:dyDescent="0.3">
      <c r="A211" s="2">
        <f t="shared" si="4"/>
        <v>104.5</v>
      </c>
      <c r="B211" s="2">
        <v>684.11800000000005</v>
      </c>
      <c r="C211" s="2">
        <v>600.28099999999995</v>
      </c>
      <c r="D211" s="2">
        <v>530.33000000000004</v>
      </c>
      <c r="E211" s="2">
        <v>635.66899999999998</v>
      </c>
      <c r="F211" s="2">
        <f t="shared" si="17"/>
        <v>-1387.4005000000002</v>
      </c>
      <c r="G211">
        <f t="shared" si="30"/>
        <v>-3.2059999999996762</v>
      </c>
      <c r="H211" s="1">
        <v>784.07299999999998</v>
      </c>
      <c r="I211" s="1">
        <v>681.72</v>
      </c>
      <c r="J211" s="1">
        <v>1010.6849999999999</v>
      </c>
      <c r="K211" s="1">
        <v>682.548</v>
      </c>
      <c r="L211" s="2">
        <f t="shared" si="31"/>
        <v>-1210.2435</v>
      </c>
      <c r="M211">
        <f t="shared" si="32"/>
        <v>-2.5174999999999272</v>
      </c>
      <c r="N211" s="1">
        <v>1779.7190000000001</v>
      </c>
      <c r="O211" s="1">
        <v>845.31399999999996</v>
      </c>
      <c r="P211" s="1">
        <v>1196.1020000000001</v>
      </c>
      <c r="Q211" s="1">
        <v>586.24</v>
      </c>
      <c r="R211" s="2">
        <f t="shared" si="21"/>
        <v>-898.15625</v>
      </c>
      <c r="S211">
        <f t="shared" si="33"/>
        <v>-9.2639999999996689</v>
      </c>
      <c r="T211" s="1">
        <v>1059.7260000000001</v>
      </c>
      <c r="U211" s="1">
        <v>644.32000000000005</v>
      </c>
      <c r="V211" s="1">
        <v>897.01199999999994</v>
      </c>
      <c r="W211" s="1">
        <v>728.97799999999995</v>
      </c>
      <c r="X211" s="2">
        <f t="shared" si="23"/>
        <v>-964.40249999999992</v>
      </c>
      <c r="Y211" s="6"/>
      <c r="Z211" s="7"/>
      <c r="AB211" s="8"/>
      <c r="AC211" s="8"/>
      <c r="AD211" s="2">
        <f t="shared" si="34"/>
        <v>-6.5320000000001528</v>
      </c>
      <c r="AE211" s="2"/>
      <c r="AF211" s="2"/>
      <c r="AG211" s="2"/>
      <c r="AH211" s="2"/>
      <c r="AI211" s="2"/>
      <c r="AJ211" s="6"/>
      <c r="AK211" s="6"/>
      <c r="AL211" s="6"/>
      <c r="AM211" s="6"/>
      <c r="AN211" s="6"/>
      <c r="AO211" s="6"/>
      <c r="AP211" s="6"/>
      <c r="AQ211" s="8"/>
      <c r="AR211" s="6"/>
      <c r="AS211" s="6"/>
      <c r="AT211" s="12"/>
      <c r="AU211" s="6"/>
      <c r="AV211" s="7"/>
      <c r="AW211" s="7"/>
      <c r="AX211" s="7"/>
      <c r="AY211" s="7"/>
      <c r="BB211" s="6"/>
      <c r="BC211" s="6"/>
      <c r="BD211" s="6"/>
      <c r="BE211" s="6"/>
      <c r="BF211" s="6"/>
      <c r="BG211" s="6"/>
      <c r="BH211" s="6"/>
      <c r="BI211" s="6"/>
      <c r="BJ211" s="6"/>
      <c r="BK211" s="6"/>
      <c r="BL211" s="6"/>
      <c r="BM211" s="6"/>
      <c r="BN211" s="6"/>
      <c r="BO211" s="8"/>
      <c r="BP211" s="6"/>
      <c r="BQ211" s="8"/>
      <c r="BR211" s="6"/>
      <c r="BS211" s="6"/>
      <c r="BT211" s="8"/>
      <c r="BU211" s="6"/>
      <c r="BV211" s="6"/>
      <c r="BW211" s="6"/>
      <c r="BX211" s="8"/>
      <c r="BY211" s="6"/>
      <c r="CC211" s="7"/>
      <c r="CD211" s="7"/>
      <c r="CE211" s="7"/>
    </row>
    <row r="212" spans="1:83" ht="14" x14ac:dyDescent="0.3">
      <c r="A212" s="2">
        <f t="shared" si="4"/>
        <v>105</v>
      </c>
      <c r="B212" s="2">
        <v>681.71</v>
      </c>
      <c r="C212" s="2">
        <v>598.08399999999995</v>
      </c>
      <c r="D212" s="2">
        <v>528.56799999999998</v>
      </c>
      <c r="E212" s="2">
        <v>632.52</v>
      </c>
      <c r="F212" s="2">
        <f t="shared" si="17"/>
        <v>-1389.7795000000001</v>
      </c>
      <c r="G212">
        <f t="shared" si="30"/>
        <v>-1.1080000000001746</v>
      </c>
      <c r="H212" s="1">
        <v>781.80700000000002</v>
      </c>
      <c r="I212" s="1">
        <v>681.27300000000002</v>
      </c>
      <c r="J212" s="1">
        <v>1008.735</v>
      </c>
      <c r="K212" s="1">
        <v>672.07</v>
      </c>
      <c r="L212" s="2">
        <f t="shared" si="31"/>
        <v>-1214.0287499999999</v>
      </c>
      <c r="M212">
        <f t="shared" si="32"/>
        <v>-2.8290000000001783</v>
      </c>
      <c r="N212" s="1">
        <v>1770.5820000000001</v>
      </c>
      <c r="O212" s="1">
        <v>841.04499999999996</v>
      </c>
      <c r="P212" s="1">
        <v>1188.3</v>
      </c>
      <c r="Q212" s="1">
        <v>584.61400000000003</v>
      </c>
      <c r="R212" s="2">
        <f t="shared" si="21"/>
        <v>-903.86475000000019</v>
      </c>
      <c r="S212">
        <f t="shared" si="33"/>
        <v>-3.3095000000002983</v>
      </c>
      <c r="T212" s="1">
        <v>1070.5440000000001</v>
      </c>
      <c r="U212" s="1">
        <v>641.45699999999999</v>
      </c>
      <c r="V212" s="1">
        <v>894.53099999999995</v>
      </c>
      <c r="W212" s="2">
        <v>725.80399999999997</v>
      </c>
      <c r="X212" s="2">
        <f t="shared" si="23"/>
        <v>-964.36999999999989</v>
      </c>
      <c r="Y212" s="6"/>
      <c r="Z212" s="7"/>
      <c r="AB212" s="8"/>
      <c r="AC212" s="8"/>
      <c r="AD212" s="2">
        <f t="shared" si="34"/>
        <v>-3.3469999999997526</v>
      </c>
      <c r="AE212" s="2"/>
      <c r="AF212" s="2"/>
      <c r="AG212" s="2"/>
      <c r="AH212" s="2"/>
      <c r="AI212" s="2"/>
      <c r="AJ212" s="6"/>
      <c r="AK212" s="6"/>
      <c r="AL212" s="6"/>
      <c r="AM212" s="6"/>
      <c r="AN212" s="6"/>
      <c r="AO212" s="6"/>
      <c r="AP212" s="6"/>
      <c r="AQ212" s="8"/>
      <c r="AR212" s="6"/>
      <c r="AS212" s="6"/>
      <c r="AT212" s="12"/>
      <c r="AU212" s="6"/>
      <c r="AV212" s="7"/>
      <c r="AW212" s="7"/>
      <c r="AX212" s="7"/>
      <c r="AY212" s="7"/>
      <c r="BB212" s="6"/>
      <c r="BC212" s="6"/>
      <c r="BD212" s="6"/>
      <c r="BE212" s="6"/>
      <c r="BF212" s="6"/>
      <c r="BG212" s="6"/>
      <c r="BH212" s="6"/>
      <c r="BI212" s="6"/>
      <c r="BJ212" s="6"/>
      <c r="BK212" s="6"/>
      <c r="BL212" s="6"/>
      <c r="BM212" s="6"/>
      <c r="BN212" s="6"/>
      <c r="BO212" s="8"/>
      <c r="BP212" s="6"/>
      <c r="BQ212" s="8"/>
      <c r="BR212" s="6"/>
      <c r="BS212" s="6"/>
      <c r="BT212" s="8"/>
      <c r="BU212" s="6"/>
      <c r="BV212" s="6"/>
      <c r="BW212" s="6"/>
      <c r="BX212" s="8"/>
      <c r="BY212" s="6"/>
      <c r="CD212" s="7"/>
      <c r="CE212" s="7"/>
    </row>
    <row r="213" spans="1:83" ht="14" x14ac:dyDescent="0.3">
      <c r="A213" s="2">
        <f t="shared" si="4"/>
        <v>105.5</v>
      </c>
      <c r="B213" s="2">
        <v>680.75300000000004</v>
      </c>
      <c r="C213" s="2">
        <v>595.98900000000003</v>
      </c>
      <c r="D213" s="2">
        <v>526.72799999999995</v>
      </c>
      <c r="E213" s="2">
        <v>631</v>
      </c>
      <c r="F213" s="2">
        <f t="shared" si="17"/>
        <v>-1391.3824999999999</v>
      </c>
      <c r="G213">
        <f t="shared" si="30"/>
        <v>-1.2680000000000291</v>
      </c>
      <c r="H213" s="1">
        <v>780.89499999999998</v>
      </c>
      <c r="I213" s="1">
        <v>680.37800000000004</v>
      </c>
      <c r="J213" s="1">
        <v>1007.251</v>
      </c>
      <c r="K213" s="1">
        <v>670.32600000000002</v>
      </c>
      <c r="L213" s="2">
        <f t="shared" si="31"/>
        <v>-1215.2874999999999</v>
      </c>
      <c r="M213">
        <f t="shared" si="32"/>
        <v>2.5894999999995889</v>
      </c>
      <c r="N213" s="1">
        <v>1758.8009999999999</v>
      </c>
      <c r="O213" s="1">
        <v>839.89800000000002</v>
      </c>
      <c r="P213" s="1">
        <v>1184.509</v>
      </c>
      <c r="Q213" s="1">
        <v>582.80499999999995</v>
      </c>
      <c r="R213" s="2">
        <f t="shared" si="21"/>
        <v>-908.49675000000002</v>
      </c>
      <c r="S213">
        <f t="shared" si="33"/>
        <v>-3.2709999999997308</v>
      </c>
      <c r="T213" s="1">
        <v>1057.972</v>
      </c>
      <c r="U213" s="1">
        <v>641.77800000000002</v>
      </c>
      <c r="V213" s="1">
        <v>893.96400000000006</v>
      </c>
      <c r="W213" s="2">
        <v>725.09799999999996</v>
      </c>
      <c r="X213" s="2">
        <f t="shared" si="23"/>
        <v>-967.63599999999997</v>
      </c>
      <c r="Y213" s="6"/>
      <c r="Z213" s="7"/>
      <c r="AB213" s="8"/>
      <c r="AC213" s="8"/>
      <c r="AD213" s="2">
        <f t="shared" si="34"/>
        <v>-3.3525000000004184</v>
      </c>
      <c r="AE213" s="2"/>
      <c r="AF213" s="2"/>
      <c r="AG213" s="2"/>
      <c r="AH213" s="2"/>
      <c r="AI213" s="2"/>
      <c r="AJ213" s="6"/>
      <c r="AK213" s="6"/>
      <c r="AL213" s="6"/>
      <c r="AM213" s="6"/>
      <c r="AN213" s="6"/>
      <c r="AO213" s="6"/>
      <c r="AP213" s="6"/>
      <c r="AQ213" s="8"/>
      <c r="AR213" s="6"/>
      <c r="AS213" s="6"/>
      <c r="AT213" s="8"/>
      <c r="AU213" s="6"/>
      <c r="AV213" s="7"/>
      <c r="AW213" s="7"/>
      <c r="AX213" s="7"/>
      <c r="AY213" s="7"/>
      <c r="BB213" s="6"/>
      <c r="BC213" s="6"/>
      <c r="BD213" s="6"/>
      <c r="BE213" s="6"/>
      <c r="BF213" s="6"/>
      <c r="BG213" s="6"/>
      <c r="BH213" s="6"/>
      <c r="BI213" s="6"/>
      <c r="BJ213" s="6"/>
      <c r="BK213" s="6"/>
      <c r="BL213" s="6"/>
      <c r="BM213" s="6"/>
      <c r="BN213" s="6"/>
      <c r="BO213" s="8"/>
      <c r="BP213" s="6"/>
      <c r="BQ213" s="6"/>
      <c r="BR213" s="6"/>
      <c r="BS213" s="6"/>
      <c r="BT213" s="8"/>
      <c r="BU213" s="6"/>
      <c r="BV213" s="6"/>
      <c r="BW213" s="9"/>
      <c r="BX213" s="8"/>
      <c r="BY213" s="6"/>
      <c r="CD213" s="7"/>
      <c r="CE213" s="7"/>
    </row>
    <row r="214" spans="1:83" ht="14" x14ac:dyDescent="0.3">
      <c r="A214" s="2">
        <f t="shared" si="4"/>
        <v>106</v>
      </c>
      <c r="B214" s="2">
        <v>680.36500000000001</v>
      </c>
      <c r="C214" s="2">
        <v>595.54600000000005</v>
      </c>
      <c r="D214" s="2">
        <v>526.99099999999999</v>
      </c>
      <c r="E214" s="2">
        <v>629.35199999999998</v>
      </c>
      <c r="F214" s="2">
        <f t="shared" si="17"/>
        <v>-1391.9365</v>
      </c>
      <c r="G214">
        <f t="shared" si="30"/>
        <v>-1.181999999999789</v>
      </c>
      <c r="H214" s="1">
        <v>780.26599999999996</v>
      </c>
      <c r="I214" s="1">
        <v>679.053</v>
      </c>
      <c r="J214" s="1">
        <v>1004.526</v>
      </c>
      <c r="K214" s="1">
        <v>669.34699999999998</v>
      </c>
      <c r="L214" s="2">
        <f t="shared" si="31"/>
        <v>-1216.702</v>
      </c>
      <c r="M214">
        <f t="shared" si="32"/>
        <v>-3.9774999999995089</v>
      </c>
      <c r="N214" s="1">
        <v>1757.271</v>
      </c>
      <c r="O214" s="1">
        <v>837.548</v>
      </c>
      <c r="P214" s="1">
        <v>1182.2149999999999</v>
      </c>
      <c r="Q214" s="1">
        <v>582.36</v>
      </c>
      <c r="R214" s="2">
        <f t="shared" si="21"/>
        <v>-910.15150000000017</v>
      </c>
      <c r="S214">
        <f t="shared" si="33"/>
        <v>-9.6970000000001164</v>
      </c>
      <c r="T214" s="1">
        <v>1056.578</v>
      </c>
      <c r="U214" s="1">
        <v>641.03200000000004</v>
      </c>
      <c r="V214" s="1">
        <v>892.06</v>
      </c>
      <c r="W214" s="2">
        <v>724.72500000000002</v>
      </c>
      <c r="X214" s="2">
        <f t="shared" si="23"/>
        <v>-969.30949999999984</v>
      </c>
      <c r="Y214" s="6"/>
      <c r="Z214" s="7"/>
      <c r="AB214" s="8"/>
      <c r="AC214" s="8"/>
      <c r="AD214" s="2">
        <f t="shared" si="34"/>
        <v>40.148000000000138</v>
      </c>
      <c r="AE214" s="2"/>
      <c r="AF214" s="2"/>
      <c r="AG214" s="2"/>
      <c r="AH214" s="2"/>
      <c r="AI214" s="2"/>
      <c r="AJ214" s="6"/>
      <c r="AK214" s="6"/>
      <c r="AL214" s="6"/>
      <c r="AM214" s="6"/>
      <c r="AN214" s="6"/>
      <c r="AO214" s="6"/>
      <c r="AP214" s="6"/>
      <c r="AQ214" s="8"/>
      <c r="AR214" s="6"/>
      <c r="AS214" s="6"/>
      <c r="AT214" s="8"/>
      <c r="AU214" s="9"/>
      <c r="AV214" s="7"/>
      <c r="AW214" s="7"/>
      <c r="AX214" s="7"/>
      <c r="AY214" s="7"/>
      <c r="BB214" s="6"/>
      <c r="BC214" s="6"/>
      <c r="BD214" s="6"/>
      <c r="BE214" s="6"/>
      <c r="BF214" s="6"/>
      <c r="BG214" s="6"/>
      <c r="BH214" s="6"/>
      <c r="BI214" s="6"/>
      <c r="BJ214" s="6"/>
      <c r="BK214" s="6"/>
      <c r="BL214" s="6"/>
      <c r="BM214" s="6"/>
      <c r="BN214" s="6"/>
      <c r="BO214" s="8"/>
      <c r="BP214" s="6"/>
      <c r="BQ214" s="6"/>
      <c r="BR214" s="6"/>
      <c r="BS214" s="6"/>
      <c r="BT214" s="8"/>
      <c r="BU214" s="6"/>
      <c r="BV214" s="6"/>
      <c r="BW214" s="6"/>
      <c r="BX214" s="8"/>
      <c r="BY214" s="6"/>
      <c r="CE214" s="7"/>
    </row>
    <row r="215" spans="1:83" ht="14" x14ac:dyDescent="0.3">
      <c r="A215" s="2">
        <f t="shared" si="4"/>
        <v>106.5</v>
      </c>
      <c r="B215" s="2">
        <v>678.54</v>
      </c>
      <c r="C215" s="2">
        <v>594.82899999999995</v>
      </c>
      <c r="D215" s="2">
        <v>526.80200000000002</v>
      </c>
      <c r="E215" s="2">
        <v>629.54700000000003</v>
      </c>
      <c r="F215" s="2">
        <f t="shared" si="17"/>
        <v>-1392.5705</v>
      </c>
      <c r="G215">
        <f t="shared" si="30"/>
        <v>-0.40000000000009095</v>
      </c>
      <c r="H215" s="1">
        <v>779.46500000000003</v>
      </c>
      <c r="I215" s="1">
        <v>678.63499999999999</v>
      </c>
      <c r="J215" s="1">
        <v>1003.05</v>
      </c>
      <c r="K215" s="1">
        <v>677.221</v>
      </c>
      <c r="L215" s="2">
        <f t="shared" si="31"/>
        <v>-1215.4072500000002</v>
      </c>
      <c r="M215">
        <f t="shared" si="32"/>
        <v>7.6509999999998399</v>
      </c>
      <c r="N215" s="1">
        <v>1752.884</v>
      </c>
      <c r="O215" s="1">
        <v>837.98900000000003</v>
      </c>
      <c r="P215" s="1">
        <v>1179.019</v>
      </c>
      <c r="Q215" s="1">
        <v>582.96</v>
      </c>
      <c r="R215" s="2">
        <f t="shared" si="21"/>
        <v>-911.78700000000003</v>
      </c>
      <c r="S215">
        <f t="shared" si="33"/>
        <v>-1.7824999999997999</v>
      </c>
      <c r="T215" s="1">
        <v>1054.979</v>
      </c>
      <c r="U215" s="1">
        <v>639.92399999999998</v>
      </c>
      <c r="V215" s="1">
        <v>890.61500000000001</v>
      </c>
      <c r="W215" s="2">
        <v>723.46100000000001</v>
      </c>
      <c r="X215" s="2">
        <f t="shared" si="23"/>
        <v>-970.98575000000005</v>
      </c>
      <c r="Y215" s="6"/>
      <c r="Z215" s="7"/>
      <c r="AB215" s="8"/>
      <c r="AC215" s="8"/>
      <c r="AD215" s="2">
        <f t="shared" si="34"/>
        <v>-48.362999999999829</v>
      </c>
      <c r="AE215" s="3"/>
      <c r="AF215" s="2"/>
      <c r="AG215" s="2"/>
      <c r="AH215" s="2"/>
      <c r="AI215" s="2"/>
      <c r="AJ215" s="6"/>
      <c r="AK215" s="6"/>
      <c r="AL215" s="6"/>
      <c r="AM215" s="6"/>
      <c r="AN215" s="6"/>
      <c r="AO215" s="6"/>
      <c r="AP215" s="6"/>
      <c r="AQ215" s="8"/>
      <c r="AR215" s="6"/>
      <c r="AS215" s="6"/>
      <c r="AT215" s="6"/>
      <c r="AU215" s="6"/>
      <c r="AV215" s="11"/>
      <c r="AW215" s="7"/>
      <c r="AX215" s="7"/>
      <c r="AY215" s="7"/>
      <c r="BB215" s="6"/>
      <c r="BC215" s="6"/>
      <c r="BD215" s="6"/>
      <c r="BE215" s="6"/>
      <c r="BF215" s="6"/>
      <c r="BG215" s="6"/>
      <c r="BH215" s="6"/>
      <c r="BI215" s="6"/>
      <c r="BJ215" s="6"/>
      <c r="BK215" s="6"/>
      <c r="BL215" s="9"/>
      <c r="BM215" s="6"/>
      <c r="BN215" s="6"/>
      <c r="BO215" s="8"/>
      <c r="BP215" s="6"/>
      <c r="BQ215" s="6"/>
      <c r="BR215" s="6"/>
      <c r="BS215" s="6"/>
      <c r="BT215" s="8"/>
      <c r="BU215" s="6"/>
      <c r="BV215" s="6"/>
      <c r="BW215" s="6"/>
      <c r="BX215" s="8"/>
      <c r="BY215" s="6"/>
      <c r="CE215" s="7"/>
    </row>
    <row r="216" spans="1:83" ht="14" x14ac:dyDescent="0.3">
      <c r="A216" s="2">
        <f t="shared" si="4"/>
        <v>107</v>
      </c>
      <c r="B216" s="2">
        <v>678.096</v>
      </c>
      <c r="C216" s="2">
        <v>594.68100000000004</v>
      </c>
      <c r="D216" s="2">
        <v>526.62099999999998</v>
      </c>
      <c r="E216" s="2">
        <v>627.95600000000002</v>
      </c>
      <c r="F216" s="2">
        <f t="shared" si="17"/>
        <v>-1393.1614999999999</v>
      </c>
      <c r="G216">
        <f t="shared" si="30"/>
        <v>-1.581000000000131</v>
      </c>
      <c r="H216" s="1">
        <v>780.37199999999996</v>
      </c>
      <c r="I216" s="1">
        <v>678.93200000000002</v>
      </c>
      <c r="J216" s="1">
        <v>1002.234</v>
      </c>
      <c r="K216" s="1">
        <v>668.87800000000004</v>
      </c>
      <c r="L216" s="2">
        <f t="shared" si="31"/>
        <v>-1217.396</v>
      </c>
      <c r="M216">
        <f t="shared" si="32"/>
        <v>-11.534999999999854</v>
      </c>
      <c r="N216" s="1">
        <v>1739.7619999999999</v>
      </c>
      <c r="O216" s="1">
        <v>836.49599999999998</v>
      </c>
      <c r="P216" s="1">
        <v>1175.146</v>
      </c>
      <c r="Q216" s="1">
        <v>582.05399999999997</v>
      </c>
      <c r="R216" s="2">
        <f t="shared" si="21"/>
        <v>-916.63550000000009</v>
      </c>
      <c r="S216">
        <f t="shared" si="33"/>
        <v>-4.9700000000002547</v>
      </c>
      <c r="T216" s="1">
        <v>1049.989</v>
      </c>
      <c r="U216" s="1">
        <v>683.995</v>
      </c>
      <c r="V216" s="1">
        <v>889.18700000000001</v>
      </c>
      <c r="W216" s="2">
        <v>722.13699999999994</v>
      </c>
      <c r="X216" s="2">
        <f t="shared" si="23"/>
        <v>-950.91174999999998</v>
      </c>
      <c r="Y216" s="6"/>
      <c r="Z216" s="7"/>
      <c r="AB216" s="8"/>
      <c r="AC216" s="8"/>
      <c r="AD216" s="2">
        <f t="shared" si="34"/>
        <v>2.3504999999995562</v>
      </c>
      <c r="AE216" s="2"/>
      <c r="AF216" s="3"/>
      <c r="AG216" s="3"/>
      <c r="AH216" s="2"/>
      <c r="AI216" s="2"/>
      <c r="AJ216" s="6"/>
      <c r="AK216" s="6"/>
      <c r="AL216" s="6"/>
      <c r="AM216" s="6"/>
      <c r="AN216" s="9"/>
      <c r="AO216" s="6"/>
      <c r="AP216" s="6"/>
      <c r="AQ216" s="8"/>
      <c r="AR216" s="6"/>
      <c r="AS216" s="6"/>
      <c r="AT216" s="6"/>
      <c r="AU216" s="6"/>
      <c r="AV216" s="7"/>
      <c r="AW216" s="7"/>
      <c r="AX216" s="7"/>
      <c r="AY216" s="7"/>
      <c r="BB216" s="6"/>
      <c r="BC216" s="6"/>
      <c r="BD216" s="6"/>
      <c r="BE216" s="6"/>
      <c r="BF216" s="6"/>
      <c r="BG216" s="6"/>
      <c r="BH216" s="6"/>
      <c r="BI216" s="6"/>
      <c r="BJ216" s="6"/>
      <c r="BK216" s="6"/>
      <c r="BL216" s="6"/>
      <c r="BM216" s="6"/>
      <c r="BN216" s="6"/>
      <c r="BO216" s="6"/>
      <c r="BP216" s="6"/>
      <c r="BQ216" s="6"/>
      <c r="BR216" s="6"/>
      <c r="BS216" s="6"/>
      <c r="BT216" s="8"/>
      <c r="BU216" s="6"/>
      <c r="BV216" s="6"/>
      <c r="BW216" s="6"/>
      <c r="BX216" s="8"/>
      <c r="BY216" s="6"/>
      <c r="CE216" s="7"/>
    </row>
    <row r="217" spans="1:83" ht="14" x14ac:dyDescent="0.3">
      <c r="A217" s="2">
        <f t="shared" si="4"/>
        <v>107.5</v>
      </c>
      <c r="B217" s="2">
        <v>677.928</v>
      </c>
      <c r="C217" s="2">
        <v>593.98599999999999</v>
      </c>
      <c r="D217" s="2">
        <v>526.55499999999995</v>
      </c>
      <c r="E217" s="2">
        <v>628.08500000000004</v>
      </c>
      <c r="F217" s="2">
        <f t="shared" si="17"/>
        <v>-1393.3615</v>
      </c>
      <c r="G217">
        <f t="shared" si="30"/>
        <v>-1.2204999999999018</v>
      </c>
      <c r="H217" s="1">
        <v>778.36099999999999</v>
      </c>
      <c r="I217" s="1">
        <v>678.399</v>
      </c>
      <c r="J217" s="1">
        <v>1001.097</v>
      </c>
      <c r="K217" s="1">
        <v>687.86099999999999</v>
      </c>
      <c r="L217" s="2">
        <f t="shared" si="31"/>
        <v>-1213.5705</v>
      </c>
      <c r="M217">
        <f t="shared" si="32"/>
        <v>2.0795000000002801</v>
      </c>
      <c r="N217" s="1">
        <v>1738.9380000000001</v>
      </c>
      <c r="O217" s="1">
        <v>836.36099999999999</v>
      </c>
      <c r="P217" s="1">
        <v>1173.0889999999999</v>
      </c>
      <c r="Q217" s="1">
        <v>581.505</v>
      </c>
      <c r="R217" s="2">
        <f t="shared" si="21"/>
        <v>-917.52674999999999</v>
      </c>
      <c r="S217">
        <f t="shared" si="33"/>
        <v>-8.4784999999997126</v>
      </c>
      <c r="T217" s="1">
        <v>1047.279</v>
      </c>
      <c r="U217" s="1">
        <v>638.06100000000004</v>
      </c>
      <c r="V217" s="1">
        <v>888.11300000000006</v>
      </c>
      <c r="W217" s="2">
        <v>721.77</v>
      </c>
      <c r="X217" s="2">
        <f t="shared" si="23"/>
        <v>-975.0932499999999</v>
      </c>
      <c r="Y217" s="6"/>
      <c r="Z217" s="7"/>
      <c r="AB217" s="6"/>
      <c r="AC217" s="8"/>
      <c r="AD217" s="2">
        <f t="shared" si="34"/>
        <v>-4.9929999999999382</v>
      </c>
      <c r="AE217" s="3"/>
      <c r="AF217" s="2"/>
      <c r="AG217" s="2"/>
      <c r="AH217" s="2"/>
      <c r="AI217" s="2"/>
      <c r="AJ217" s="6"/>
      <c r="AK217" s="6"/>
      <c r="AL217" s="6"/>
      <c r="AM217" s="6"/>
      <c r="AN217" s="6"/>
      <c r="AO217" s="6"/>
      <c r="AP217" s="6"/>
      <c r="AQ217" s="8"/>
      <c r="AR217" s="6"/>
      <c r="AS217" s="6"/>
      <c r="AT217" s="6"/>
      <c r="AU217" s="6"/>
      <c r="AV217" s="7"/>
      <c r="AW217" s="7"/>
      <c r="AX217" s="7"/>
      <c r="AY217" s="7"/>
      <c r="BB217" s="6"/>
      <c r="BC217" s="6"/>
      <c r="BD217" s="6"/>
      <c r="BE217" s="6"/>
      <c r="BF217" s="6"/>
      <c r="BG217" s="6"/>
      <c r="BH217" s="6"/>
      <c r="BI217" s="6"/>
      <c r="BJ217" s="6"/>
      <c r="BK217" s="6"/>
      <c r="BL217" s="6"/>
      <c r="BM217" s="6"/>
      <c r="BN217" s="6"/>
      <c r="BO217" s="6"/>
      <c r="BP217" s="6"/>
      <c r="BQ217" s="6"/>
      <c r="BR217" s="6"/>
      <c r="BS217" s="6"/>
      <c r="BT217" s="8"/>
      <c r="BU217" s="6"/>
      <c r="BV217" s="6"/>
      <c r="BW217" s="6"/>
      <c r="BX217" s="8"/>
      <c r="BY217" s="6"/>
      <c r="CE217" s="7"/>
    </row>
    <row r="218" spans="1:83" ht="14" x14ac:dyDescent="0.3">
      <c r="A218" s="2">
        <f t="shared" si="4"/>
        <v>108</v>
      </c>
      <c r="B218" s="2">
        <v>676.26700000000005</v>
      </c>
      <c r="C218" s="2">
        <v>593.11199999999997</v>
      </c>
      <c r="D218" s="2">
        <v>527.06399999999996</v>
      </c>
      <c r="E218" s="2">
        <v>626.94899999999996</v>
      </c>
      <c r="F218" s="2">
        <f t="shared" si="17"/>
        <v>-1394.152</v>
      </c>
      <c r="G218">
        <f t="shared" si="30"/>
        <v>0.84549999999990177</v>
      </c>
      <c r="H218" s="1">
        <v>777.25400000000002</v>
      </c>
      <c r="I218" s="1">
        <v>677.923</v>
      </c>
      <c r="J218" s="1">
        <v>1000.452</v>
      </c>
      <c r="K218" s="1">
        <v>667.01900000000001</v>
      </c>
      <c r="L218" s="2">
        <f t="shared" si="31"/>
        <v>-1219.338</v>
      </c>
      <c r="M218">
        <f t="shared" si="32"/>
        <v>-5.6640000000002146</v>
      </c>
      <c r="N218" s="1">
        <v>1735.9269999999999</v>
      </c>
      <c r="O218" s="1">
        <v>832.16499999999996</v>
      </c>
      <c r="P218" s="1">
        <v>1170.816</v>
      </c>
      <c r="Q218" s="1">
        <v>581.04499999999996</v>
      </c>
      <c r="R218" s="2">
        <f t="shared" si="21"/>
        <v>-920.01175000000012</v>
      </c>
      <c r="S218">
        <f t="shared" si="33"/>
        <v>-8.4124999999999091</v>
      </c>
      <c r="T218" s="1">
        <v>1048.136</v>
      </c>
      <c r="U218" s="1">
        <v>639.06600000000003</v>
      </c>
      <c r="V218" s="1">
        <v>889.03</v>
      </c>
      <c r="W218" s="2">
        <v>720.93899999999996</v>
      </c>
      <c r="X218" s="2">
        <f t="shared" si="23"/>
        <v>-973.91800000000012</v>
      </c>
      <c r="Y218" s="6"/>
      <c r="Z218" s="7"/>
      <c r="AB218" s="6"/>
      <c r="AC218" s="8"/>
      <c r="AD218" s="2">
        <f t="shared" si="34"/>
        <v>1.3775000000005093</v>
      </c>
      <c r="AE218" s="2"/>
      <c r="AF218" s="3"/>
      <c r="AG218" s="2"/>
      <c r="AH218" s="2"/>
      <c r="AI218" s="2"/>
      <c r="AJ218" s="6"/>
      <c r="AK218" s="6"/>
      <c r="AL218" s="6"/>
      <c r="AM218" s="6"/>
      <c r="AN218" s="6"/>
      <c r="AO218" s="6"/>
      <c r="AP218" s="6"/>
      <c r="AQ218" s="8"/>
      <c r="AR218" s="6"/>
      <c r="AS218" s="6"/>
      <c r="AT218" s="6"/>
      <c r="AU218" s="6"/>
      <c r="AV218" s="7"/>
      <c r="AW218" s="7"/>
      <c r="AX218" s="7"/>
      <c r="AY218" s="7"/>
      <c r="BB218" s="6"/>
      <c r="BC218" s="6"/>
      <c r="BD218" s="6"/>
      <c r="BE218" s="6"/>
      <c r="BF218" s="6"/>
      <c r="BG218" s="6"/>
      <c r="BH218" s="6"/>
      <c r="BI218" s="6"/>
      <c r="BJ218" s="6"/>
      <c r="BK218" s="6"/>
      <c r="BL218" s="6"/>
      <c r="BM218" s="6"/>
      <c r="BN218" s="6"/>
      <c r="BO218" s="6"/>
      <c r="BP218" s="6"/>
      <c r="BQ218" s="6"/>
      <c r="BR218" s="6"/>
      <c r="BS218" s="6"/>
      <c r="BT218" s="8"/>
      <c r="BU218" s="6"/>
      <c r="BV218" s="6"/>
      <c r="BW218" s="6"/>
      <c r="BX218" s="8"/>
      <c r="BY218" s="6"/>
      <c r="CE218" s="7"/>
    </row>
    <row r="219" spans="1:83" ht="14" x14ac:dyDescent="0.3">
      <c r="A219" s="2">
        <f t="shared" si="4"/>
        <v>108.5</v>
      </c>
      <c r="B219" s="2">
        <v>676.524</v>
      </c>
      <c r="C219" s="2">
        <v>592.93799999999999</v>
      </c>
      <c r="D219" s="2">
        <v>526.36099999999999</v>
      </c>
      <c r="E219" s="2">
        <v>625.12800000000004</v>
      </c>
      <c r="F219" s="2">
        <f t="shared" si="17"/>
        <v>-1394.76225</v>
      </c>
      <c r="G219">
        <f t="shared" si="30"/>
        <v>-2.6660000000001673</v>
      </c>
      <c r="H219" s="1">
        <v>776.90300000000002</v>
      </c>
      <c r="I219" s="1">
        <v>676.28499999999997</v>
      </c>
      <c r="J219" s="1">
        <v>998.66600000000005</v>
      </c>
      <c r="K219" s="1">
        <v>674.95299999999997</v>
      </c>
      <c r="L219" s="2">
        <f t="shared" si="31"/>
        <v>-1218.2982499999998</v>
      </c>
      <c r="M219">
        <f t="shared" si="32"/>
        <v>3.4914999999996326</v>
      </c>
      <c r="N219" s="1">
        <v>1724.056</v>
      </c>
      <c r="O219" s="1">
        <v>833.58900000000006</v>
      </c>
      <c r="P219" s="1">
        <v>1166.0609999999999</v>
      </c>
      <c r="Q219" s="1">
        <v>579.29</v>
      </c>
      <c r="R219" s="2">
        <f t="shared" si="21"/>
        <v>-924.25099999999998</v>
      </c>
      <c r="S219">
        <f t="shared" si="33"/>
        <v>-3.1410000000000764</v>
      </c>
      <c r="T219" s="1">
        <v>1044.9159999999999</v>
      </c>
      <c r="U219" s="1">
        <v>637.41399999999999</v>
      </c>
      <c r="V219" s="1">
        <v>887.29899999999998</v>
      </c>
      <c r="W219" s="2">
        <v>719.51</v>
      </c>
      <c r="X219" s="2">
        <f t="shared" si="23"/>
        <v>-976.41450000000009</v>
      </c>
      <c r="Y219" s="6"/>
      <c r="Z219" s="7"/>
      <c r="AB219" s="6"/>
      <c r="AC219" s="8"/>
      <c r="AD219" s="2">
        <f t="shared" si="34"/>
        <v>-2.664000000000442</v>
      </c>
      <c r="AE219" s="2"/>
      <c r="AF219" s="2"/>
      <c r="AG219" s="2"/>
      <c r="AH219" s="2"/>
      <c r="AI219" s="2"/>
      <c r="AJ219" s="6"/>
      <c r="AK219" s="6"/>
      <c r="AL219" s="6"/>
      <c r="AM219" s="6"/>
      <c r="AN219" s="6"/>
      <c r="AO219" s="6"/>
      <c r="AP219" s="6"/>
      <c r="AQ219" s="8"/>
      <c r="AR219" s="6"/>
      <c r="AS219" s="6"/>
      <c r="AT219" s="6"/>
      <c r="AU219" s="6"/>
      <c r="AV219" s="7"/>
      <c r="AW219" s="7"/>
      <c r="AX219" s="7"/>
      <c r="AY219" s="7"/>
      <c r="BB219" s="6"/>
      <c r="BC219" s="6"/>
      <c r="BD219" s="6"/>
      <c r="BE219" s="6"/>
      <c r="BF219" s="6"/>
      <c r="BG219" s="6"/>
      <c r="BH219" s="6"/>
      <c r="BI219" s="8"/>
      <c r="BJ219" s="6"/>
      <c r="BK219" s="6"/>
      <c r="BL219" s="6"/>
      <c r="BM219" s="6"/>
      <c r="BN219" s="6"/>
      <c r="BO219" s="6"/>
      <c r="BP219" s="6"/>
      <c r="BQ219" s="6"/>
      <c r="BR219" s="6"/>
      <c r="BS219" s="6"/>
      <c r="BT219" s="8"/>
      <c r="BU219" s="6"/>
      <c r="BV219" s="6"/>
      <c r="BW219" s="6"/>
      <c r="BX219" s="8"/>
      <c r="BY219" s="6"/>
      <c r="CE219" s="7"/>
    </row>
    <row r="220" spans="1:83" ht="14" x14ac:dyDescent="0.3">
      <c r="A220" s="2">
        <f t="shared" si="4"/>
        <v>109</v>
      </c>
      <c r="B220" s="2">
        <v>676.10599999999999</v>
      </c>
      <c r="C220" s="2">
        <v>592.23</v>
      </c>
      <c r="D220" s="2">
        <v>529.91200000000003</v>
      </c>
      <c r="E220" s="2">
        <v>624.39400000000001</v>
      </c>
      <c r="F220" s="2">
        <f t="shared" si="17"/>
        <v>-1394.3395</v>
      </c>
      <c r="G220">
        <f t="shared" si="30"/>
        <v>-1.9960000000000946</v>
      </c>
      <c r="H220" s="1">
        <v>776.20500000000004</v>
      </c>
      <c r="I220" s="1">
        <v>674.798</v>
      </c>
      <c r="J220" s="1">
        <v>997.428</v>
      </c>
      <c r="K220" s="1">
        <v>667.048</v>
      </c>
      <c r="L220" s="2">
        <f t="shared" si="31"/>
        <v>-1221.1302499999999</v>
      </c>
      <c r="M220">
        <f t="shared" si="32"/>
        <v>-3.73700000000008</v>
      </c>
      <c r="N220" s="1">
        <v>1720.0139999999999</v>
      </c>
      <c r="O220" s="1">
        <v>826.31399999999996</v>
      </c>
      <c r="P220" s="1">
        <v>1161.087</v>
      </c>
      <c r="Q220" s="1">
        <v>578.75599999999997</v>
      </c>
      <c r="R220" s="2">
        <f t="shared" si="21"/>
        <v>-928.45724999999993</v>
      </c>
      <c r="S220">
        <f t="shared" si="33"/>
        <v>-4.4724999999998545</v>
      </c>
      <c r="T220" s="1">
        <v>1047.2270000000001</v>
      </c>
      <c r="U220" s="1">
        <v>637.73800000000006</v>
      </c>
      <c r="V220" s="1">
        <v>887.197</v>
      </c>
      <c r="W220" s="2">
        <v>718.25300000000004</v>
      </c>
      <c r="X220" s="2">
        <f t="shared" si="23"/>
        <v>-975.72574999999983</v>
      </c>
      <c r="Y220" s="6"/>
      <c r="Z220" s="7"/>
      <c r="AB220" s="6"/>
      <c r="AC220" s="8"/>
      <c r="AD220" s="2">
        <f t="shared" si="34"/>
        <v>-3.7639999999998963</v>
      </c>
      <c r="AE220" s="2"/>
      <c r="AF220" s="2"/>
      <c r="AG220" s="2"/>
      <c r="AH220" s="2"/>
      <c r="AI220" s="2"/>
      <c r="AJ220" s="6"/>
      <c r="AK220" s="6"/>
      <c r="AL220" s="6"/>
      <c r="AM220" s="6"/>
      <c r="AN220" s="6"/>
      <c r="AO220" s="6"/>
      <c r="AP220" s="6"/>
      <c r="AQ220" s="8"/>
      <c r="AR220" s="6"/>
      <c r="AS220" s="6"/>
      <c r="AT220" s="6"/>
      <c r="AU220" s="6"/>
      <c r="AV220" s="7"/>
      <c r="AW220" s="7"/>
      <c r="AX220" s="7"/>
      <c r="AY220" s="7"/>
      <c r="BB220" s="6"/>
      <c r="BC220" s="6"/>
      <c r="BD220" s="6"/>
      <c r="BE220" s="6"/>
      <c r="BF220" s="6"/>
      <c r="BG220" s="6"/>
      <c r="BH220" s="6"/>
      <c r="BI220" s="8"/>
      <c r="BJ220" s="6"/>
      <c r="BK220" s="6"/>
      <c r="BL220" s="6"/>
      <c r="BM220" s="6"/>
      <c r="BN220" s="6"/>
      <c r="BO220" s="6"/>
      <c r="BP220" s="6"/>
      <c r="BQ220" s="6"/>
      <c r="BR220" s="6"/>
      <c r="BS220" s="6"/>
      <c r="BT220" s="8"/>
      <c r="BU220" s="6"/>
      <c r="BV220" s="6"/>
      <c r="BW220" s="6"/>
      <c r="BX220" s="8"/>
      <c r="BY220" s="6"/>
      <c r="CE220" s="7"/>
    </row>
    <row r="221" spans="1:83" ht="14" x14ac:dyDescent="0.3">
      <c r="A221" s="2">
        <f t="shared" si="4"/>
        <v>109.5</v>
      </c>
      <c r="B221" s="2">
        <v>675.25199999999995</v>
      </c>
      <c r="C221" s="2">
        <v>592.12099999999998</v>
      </c>
      <c r="D221" s="2">
        <v>526.98900000000003</v>
      </c>
      <c r="E221" s="2">
        <v>622.94799999999998</v>
      </c>
      <c r="F221" s="2">
        <f t="shared" si="17"/>
        <v>-1395.6725000000001</v>
      </c>
      <c r="G221">
        <f t="shared" si="30"/>
        <v>0.32250000000021828</v>
      </c>
      <c r="H221" s="1">
        <v>777.48400000000004</v>
      </c>
      <c r="I221" s="1">
        <v>674.33699999999999</v>
      </c>
      <c r="J221" s="1">
        <v>995.928</v>
      </c>
      <c r="K221" s="1">
        <v>674.71299999999997</v>
      </c>
      <c r="L221" s="2">
        <f t="shared" si="31"/>
        <v>-1219.3845000000001</v>
      </c>
      <c r="M221">
        <f t="shared" si="32"/>
        <v>-4.875</v>
      </c>
      <c r="N221" s="1">
        <v>1717.913</v>
      </c>
      <c r="O221" s="1">
        <v>825.601</v>
      </c>
      <c r="P221" s="1">
        <v>1158.779</v>
      </c>
      <c r="Q221" s="1">
        <v>577.596</v>
      </c>
      <c r="R221" s="2">
        <f t="shared" si="21"/>
        <v>-930.02774999999997</v>
      </c>
      <c r="S221">
        <f t="shared" si="33"/>
        <v>-5.9625000000000909</v>
      </c>
      <c r="T221" s="1">
        <v>1044.723</v>
      </c>
      <c r="U221" s="1">
        <v>637.14599999999996</v>
      </c>
      <c r="V221" s="1">
        <v>886.37699999999995</v>
      </c>
      <c r="W221" s="2">
        <v>717.50199999999995</v>
      </c>
      <c r="X221" s="2">
        <f t="shared" si="23"/>
        <v>-977.05775000000006</v>
      </c>
      <c r="Y221" s="6"/>
      <c r="Z221" s="7"/>
      <c r="AB221" s="6"/>
      <c r="AC221" s="8"/>
      <c r="AD221" s="2">
        <f t="shared" si="34"/>
        <v>-3.1364999999998417</v>
      </c>
      <c r="AE221" s="2"/>
      <c r="AF221" s="2"/>
      <c r="AG221" s="2"/>
      <c r="AH221" s="2"/>
      <c r="AI221" s="2"/>
      <c r="AJ221" s="6"/>
      <c r="AK221" s="6"/>
      <c r="AL221" s="6"/>
      <c r="AM221" s="6"/>
      <c r="AN221" s="6"/>
      <c r="AO221" s="6"/>
      <c r="AP221" s="6"/>
      <c r="AQ221" s="8"/>
      <c r="AR221" s="9"/>
      <c r="AS221" s="6"/>
      <c r="AT221" s="6"/>
      <c r="AU221" s="6"/>
      <c r="AV221" s="7"/>
      <c r="AW221" s="7"/>
      <c r="AX221" s="7"/>
      <c r="AY221" s="7"/>
      <c r="BB221" s="6"/>
      <c r="BC221" s="6"/>
      <c r="BD221" s="9"/>
      <c r="BE221" s="6"/>
      <c r="BF221" s="6"/>
      <c r="BG221" s="6"/>
      <c r="BH221" s="6"/>
      <c r="BI221" s="8"/>
      <c r="BJ221" s="9"/>
      <c r="BK221" s="6"/>
      <c r="BL221" s="6"/>
      <c r="BM221" s="6"/>
      <c r="BN221" s="6"/>
      <c r="BO221" s="6"/>
      <c r="BP221" s="6"/>
      <c r="BQ221" s="6"/>
      <c r="BR221" s="6"/>
      <c r="BS221" s="6"/>
      <c r="BT221" s="8"/>
      <c r="BU221" s="6"/>
      <c r="BV221" s="6"/>
      <c r="BW221" s="6"/>
      <c r="BX221" s="8"/>
      <c r="BY221" s="6"/>
      <c r="CE221" s="7"/>
    </row>
    <row r="222" spans="1:83" ht="14" x14ac:dyDescent="0.3">
      <c r="A222" s="2">
        <f t="shared" si="4"/>
        <v>110</v>
      </c>
      <c r="B222" s="2">
        <v>674.59799999999996</v>
      </c>
      <c r="C222" s="2">
        <v>590.40099999999995</v>
      </c>
      <c r="D222" s="2">
        <v>526.24099999999999</v>
      </c>
      <c r="E222" s="2">
        <v>622.07799999999997</v>
      </c>
      <c r="F222" s="2">
        <f t="shared" si="17"/>
        <v>-1396.6705000000002</v>
      </c>
      <c r="G222">
        <f t="shared" si="30"/>
        <v>-3.1320000000000618</v>
      </c>
      <c r="H222" s="1">
        <v>775.59400000000005</v>
      </c>
      <c r="I222" s="1">
        <v>674.63099999999997</v>
      </c>
      <c r="J222" s="1">
        <v>995.11300000000006</v>
      </c>
      <c r="K222" s="1">
        <v>669.65</v>
      </c>
      <c r="L222" s="2">
        <f t="shared" si="31"/>
        <v>-1221.2530000000002</v>
      </c>
      <c r="M222">
        <f t="shared" si="32"/>
        <v>-1.3899999999998727</v>
      </c>
      <c r="N222" s="1">
        <v>1713.4760000000001</v>
      </c>
      <c r="O222" s="1">
        <v>824.76800000000003</v>
      </c>
      <c r="P222" s="1">
        <v>1156.3879999999999</v>
      </c>
      <c r="Q222" s="1">
        <v>576.31200000000001</v>
      </c>
      <c r="R222" s="2">
        <f t="shared" si="21"/>
        <v>-932.2639999999999</v>
      </c>
      <c r="S222">
        <f t="shared" si="33"/>
        <v>-3.1900000000005093</v>
      </c>
      <c r="T222" s="1">
        <v>1044.575</v>
      </c>
      <c r="U222" s="1">
        <v>635.56600000000003</v>
      </c>
      <c r="V222" s="1">
        <v>884.26700000000005</v>
      </c>
      <c r="W222" s="2">
        <v>716.41099999999994</v>
      </c>
      <c r="X222" s="2">
        <f t="shared" si="23"/>
        <v>-978.93975</v>
      </c>
      <c r="Y222" s="6"/>
      <c r="Z222" s="7"/>
      <c r="AB222" s="6"/>
      <c r="AC222" s="8"/>
      <c r="AD222" s="2">
        <f t="shared" si="34"/>
        <v>-2.3329999999998563</v>
      </c>
      <c r="AE222" s="2"/>
      <c r="AF222" s="2"/>
      <c r="AG222" s="2"/>
      <c r="AH222" s="3"/>
      <c r="AI222" s="2"/>
      <c r="AJ222" s="6"/>
      <c r="AK222" s="6"/>
      <c r="AL222" s="6"/>
      <c r="AM222" s="6"/>
      <c r="AN222" s="6"/>
      <c r="AO222" s="6"/>
      <c r="AP222" s="6"/>
      <c r="AQ222" s="8"/>
      <c r="AR222" s="6"/>
      <c r="AS222" s="6"/>
      <c r="AT222" s="6"/>
      <c r="AU222" s="6"/>
      <c r="AV222" s="7"/>
      <c r="AW222" s="7"/>
      <c r="AX222" s="7"/>
      <c r="AY222" s="7"/>
      <c r="BB222" s="6"/>
      <c r="BC222" s="6"/>
      <c r="BD222" s="6"/>
      <c r="BE222" s="6"/>
      <c r="BF222" s="6"/>
      <c r="BG222" s="6"/>
      <c r="BH222" s="6"/>
      <c r="BI222" s="8"/>
      <c r="BJ222" s="6"/>
      <c r="BK222" s="6"/>
      <c r="BL222" s="6"/>
      <c r="BM222" s="6"/>
      <c r="BN222" s="6"/>
      <c r="BO222" s="6"/>
      <c r="BP222" s="6"/>
      <c r="BQ222" s="6"/>
      <c r="BR222" s="6"/>
      <c r="BS222" s="6"/>
      <c r="BT222" s="8"/>
      <c r="BU222" s="6"/>
      <c r="BV222" s="6"/>
      <c r="BW222" s="6"/>
      <c r="BX222" s="8"/>
      <c r="BY222" s="6"/>
      <c r="CE222" s="7"/>
    </row>
    <row r="223" spans="1:83" ht="14" x14ac:dyDescent="0.3">
      <c r="A223" s="2">
        <f t="shared" si="4"/>
        <v>110.5</v>
      </c>
      <c r="B223" s="2">
        <v>674.04700000000003</v>
      </c>
      <c r="C223" s="2">
        <v>590.95699999999999</v>
      </c>
      <c r="D223" s="2">
        <v>526.59299999999996</v>
      </c>
      <c r="E223" s="2">
        <v>622.36599999999999</v>
      </c>
      <c r="F223" s="2">
        <f t="shared" si="17"/>
        <v>-1396.5092500000001</v>
      </c>
      <c r="G223">
        <f t="shared" si="30"/>
        <v>-2.0244999999999891</v>
      </c>
      <c r="H223" s="1">
        <v>774.08900000000006</v>
      </c>
      <c r="I223" s="1">
        <v>671.52700000000004</v>
      </c>
      <c r="J223" s="1">
        <v>991.41700000000003</v>
      </c>
      <c r="K223" s="1">
        <v>668.20500000000004</v>
      </c>
      <c r="L223" s="2">
        <f t="shared" si="31"/>
        <v>-1223.6905000000002</v>
      </c>
      <c r="M223">
        <f t="shared" si="32"/>
        <v>-1.4459999999999127</v>
      </c>
      <c r="N223" s="1">
        <v>1705.2049999999999</v>
      </c>
      <c r="O223" s="1">
        <v>824.48</v>
      </c>
      <c r="P223" s="1">
        <v>1153.393</v>
      </c>
      <c r="Q223" s="1">
        <v>575.94100000000003</v>
      </c>
      <c r="R223" s="2">
        <f t="shared" si="21"/>
        <v>-935.24524999999994</v>
      </c>
      <c r="S223">
        <f t="shared" si="33"/>
        <v>-7.4514999999996689</v>
      </c>
      <c r="T223" s="1">
        <v>1040.8920000000001</v>
      </c>
      <c r="U223" s="1">
        <v>635.34400000000005</v>
      </c>
      <c r="V223" s="1">
        <v>883.19399999999996</v>
      </c>
      <c r="W223" s="2">
        <v>716.68600000000004</v>
      </c>
      <c r="X223" s="2">
        <f t="shared" si="23"/>
        <v>-980.50799999999992</v>
      </c>
      <c r="Y223" s="9"/>
      <c r="Z223" s="7"/>
      <c r="AB223" s="6"/>
      <c r="AC223" s="8"/>
      <c r="AD223" s="2">
        <f t="shared" si="34"/>
        <v>2.0434999999995398</v>
      </c>
      <c r="AE223" s="2"/>
      <c r="AF223" s="2"/>
      <c r="AG223" s="2"/>
      <c r="AH223" s="2"/>
      <c r="AI223" s="2"/>
      <c r="AJ223" s="6"/>
      <c r="AK223" s="6"/>
      <c r="AL223" s="6"/>
      <c r="AM223" s="6"/>
      <c r="AN223" s="6"/>
      <c r="AO223" s="6"/>
      <c r="AP223" s="6"/>
      <c r="AQ223" s="8"/>
      <c r="AR223" s="6"/>
      <c r="AS223" s="6"/>
      <c r="AT223" s="6"/>
      <c r="AU223" s="9"/>
      <c r="AV223" s="7"/>
      <c r="AW223" s="7"/>
      <c r="AX223" s="7"/>
      <c r="AY223" s="7"/>
      <c r="BB223" s="6"/>
      <c r="BC223" s="6"/>
      <c r="BD223" s="6"/>
      <c r="BE223" s="6"/>
      <c r="BF223" s="6"/>
      <c r="BG223" s="6"/>
      <c r="BH223" s="6"/>
      <c r="BI223" s="8"/>
      <c r="BJ223" s="6"/>
      <c r="BK223" s="6"/>
      <c r="BL223" s="6"/>
      <c r="BM223" s="6"/>
      <c r="BN223" s="6"/>
      <c r="BO223" s="6"/>
      <c r="BP223" s="6"/>
      <c r="BQ223" s="6"/>
      <c r="BR223" s="6"/>
      <c r="BS223" s="6"/>
      <c r="BT223" s="8"/>
      <c r="BU223" s="6"/>
      <c r="BV223" s="6"/>
      <c r="BW223" s="6"/>
      <c r="BX223" s="8"/>
      <c r="BY223" s="6"/>
      <c r="CE223" s="7"/>
    </row>
    <row r="224" spans="1:83" ht="14" x14ac:dyDescent="0.3">
      <c r="A224" s="2">
        <f t="shared" si="4"/>
        <v>111</v>
      </c>
      <c r="B224" s="2">
        <v>673.19500000000005</v>
      </c>
      <c r="C224" s="2">
        <v>589.50699999999995</v>
      </c>
      <c r="D224" s="2">
        <v>525.83299999999997</v>
      </c>
      <c r="E224" s="2">
        <v>619.16399999999999</v>
      </c>
      <c r="F224" s="2">
        <f t="shared" si="17"/>
        <v>-1398.0752500000001</v>
      </c>
      <c r="G224">
        <f t="shared" si="30"/>
        <v>-0.53499999999985448</v>
      </c>
      <c r="H224" s="1">
        <v>773.02499999999998</v>
      </c>
      <c r="I224" s="1">
        <v>673.44299999999998</v>
      </c>
      <c r="J224" s="1">
        <v>992.90499999999997</v>
      </c>
      <c r="K224" s="1">
        <v>663.08500000000004</v>
      </c>
      <c r="L224" s="2">
        <f t="shared" si="31"/>
        <v>-1224.3855000000001</v>
      </c>
      <c r="M224">
        <f t="shared" si="32"/>
        <v>-0.48099999999976717</v>
      </c>
      <c r="N224" s="1">
        <v>1703.6289999999999</v>
      </c>
      <c r="O224" s="1">
        <v>822.74099999999999</v>
      </c>
      <c r="P224" s="1">
        <v>1150.95</v>
      </c>
      <c r="Q224" s="1">
        <v>575.31899999999996</v>
      </c>
      <c r="R224" s="2">
        <f t="shared" si="21"/>
        <v>-936.8402500000002</v>
      </c>
      <c r="S224">
        <f t="shared" si="33"/>
        <v>-4.5340000000001055</v>
      </c>
      <c r="T224" s="1">
        <v>1039.7360000000001</v>
      </c>
      <c r="U224" s="1">
        <v>634.27499999999998</v>
      </c>
      <c r="V224" s="1">
        <v>882.50800000000004</v>
      </c>
      <c r="W224" s="1">
        <v>714.88800000000003</v>
      </c>
      <c r="X224" s="2">
        <f t="shared" si="23"/>
        <v>-981.67449999999985</v>
      </c>
      <c r="Y224" s="6"/>
      <c r="Z224" s="7"/>
      <c r="AB224" s="6"/>
      <c r="AC224" s="8"/>
      <c r="AD224" s="2">
        <f t="shared" si="34"/>
        <v>-0.97349999999960346</v>
      </c>
      <c r="AE224" s="2"/>
      <c r="AF224" s="2"/>
      <c r="AG224" s="2"/>
      <c r="AH224" s="2"/>
      <c r="AI224" s="2"/>
      <c r="AJ224" s="6"/>
      <c r="AK224" s="6"/>
      <c r="AL224" s="6"/>
      <c r="AM224" s="6"/>
      <c r="AN224" s="6"/>
      <c r="AO224" s="6"/>
      <c r="AP224" s="6"/>
      <c r="AQ224" s="8"/>
      <c r="AR224" s="6"/>
      <c r="AS224" s="6"/>
      <c r="AT224" s="6"/>
      <c r="AU224" s="9"/>
      <c r="AV224" s="7"/>
      <c r="AW224" s="7"/>
      <c r="AX224" s="7"/>
      <c r="AY224" s="7"/>
      <c r="BB224" s="6"/>
      <c r="BC224" s="6"/>
      <c r="BD224" s="6"/>
      <c r="BE224" s="6"/>
      <c r="BF224" s="6"/>
      <c r="BG224" s="6"/>
      <c r="BH224" s="6"/>
      <c r="BI224" s="8"/>
      <c r="BJ224" s="6"/>
      <c r="BK224" s="6"/>
      <c r="BL224" s="9"/>
      <c r="BM224" s="6"/>
      <c r="BN224" s="6"/>
      <c r="BO224" s="6"/>
      <c r="BP224" s="6"/>
      <c r="BQ224" s="6"/>
      <c r="BR224" s="6"/>
      <c r="BS224" s="6"/>
      <c r="BT224" s="8"/>
      <c r="BU224" s="6"/>
      <c r="BV224" s="6"/>
      <c r="BW224" s="6"/>
      <c r="BX224" s="8"/>
      <c r="BY224" s="6"/>
      <c r="CE224" s="7"/>
    </row>
    <row r="225" spans="1:83" ht="14" x14ac:dyDescent="0.3">
      <c r="A225" s="2">
        <f t="shared" si="4"/>
        <v>111.5</v>
      </c>
      <c r="B225" s="2">
        <v>671.76099999999997</v>
      </c>
      <c r="C225" s="2">
        <v>588.86900000000003</v>
      </c>
      <c r="D225" s="2">
        <v>525.52599999999995</v>
      </c>
      <c r="E225" s="2">
        <v>617.49400000000003</v>
      </c>
      <c r="F225" s="2">
        <f t="shared" si="17"/>
        <v>-1399.0875000000001</v>
      </c>
      <c r="G225">
        <f t="shared" si="30"/>
        <v>-2.6354999999998654</v>
      </c>
      <c r="H225" s="1">
        <v>771.18799999999999</v>
      </c>
      <c r="I225" s="1">
        <v>672.27099999999996</v>
      </c>
      <c r="J225" s="1">
        <v>992.01</v>
      </c>
      <c r="K225" s="1">
        <v>664.09699999999998</v>
      </c>
      <c r="L225" s="2">
        <f t="shared" si="31"/>
        <v>-1225.1085</v>
      </c>
      <c r="M225">
        <f t="shared" si="32"/>
        <v>3.0979999999995016</v>
      </c>
      <c r="N225" s="1">
        <v>1698.4839999999999</v>
      </c>
      <c r="O225" s="1">
        <v>818.71299999999997</v>
      </c>
      <c r="P225" s="1">
        <v>1146.3340000000001</v>
      </c>
      <c r="Q225" s="1">
        <v>574.20500000000004</v>
      </c>
      <c r="R225" s="2">
        <f t="shared" si="21"/>
        <v>-940.56600000000003</v>
      </c>
      <c r="S225">
        <f t="shared" si="33"/>
        <v>-4.5914999999999964</v>
      </c>
      <c r="T225" s="1">
        <v>1042.489</v>
      </c>
      <c r="U225" s="1">
        <v>634.75400000000002</v>
      </c>
      <c r="V225" s="1">
        <v>882.69600000000003</v>
      </c>
      <c r="W225" s="1">
        <v>715.03700000000003</v>
      </c>
      <c r="X225" s="2">
        <f t="shared" si="23"/>
        <v>-980.65275000000008</v>
      </c>
      <c r="Y225" s="6"/>
      <c r="Z225" s="7"/>
      <c r="AB225" s="6"/>
      <c r="AC225" s="8"/>
      <c r="AD225" s="2">
        <f t="shared" si="34"/>
        <v>-3.5820000000003347</v>
      </c>
      <c r="AE225" s="2"/>
      <c r="AF225" s="2"/>
      <c r="AG225" s="2"/>
      <c r="AH225" s="2"/>
      <c r="AI225" s="2"/>
      <c r="AJ225" s="6"/>
      <c r="AK225" s="6"/>
      <c r="AL225" s="6"/>
      <c r="AM225" s="6"/>
      <c r="AN225" s="6"/>
      <c r="AO225" s="6"/>
      <c r="AP225" s="6"/>
      <c r="AQ225" s="6"/>
      <c r="AR225" s="6"/>
      <c r="AS225" s="6"/>
      <c r="AT225" s="6"/>
      <c r="AU225" s="6"/>
      <c r="AV225" s="7"/>
      <c r="AW225" s="7"/>
      <c r="AX225" s="7"/>
      <c r="AY225" s="7"/>
      <c r="BB225" s="6"/>
      <c r="BC225" s="6"/>
      <c r="BD225" s="6"/>
      <c r="BE225" s="6"/>
      <c r="BF225" s="6"/>
      <c r="BG225" s="6"/>
      <c r="BH225" s="6"/>
      <c r="BI225" s="8"/>
      <c r="BJ225" s="6"/>
      <c r="BK225" s="6"/>
      <c r="BL225" s="6"/>
      <c r="BM225" s="6"/>
      <c r="BN225" s="6"/>
      <c r="BO225" s="6"/>
      <c r="BP225" s="9"/>
      <c r="BQ225" s="6"/>
      <c r="BR225" s="6"/>
      <c r="BS225" s="6"/>
      <c r="BT225" s="8"/>
      <c r="BU225" s="6"/>
      <c r="BV225" s="6"/>
      <c r="BW225" s="6"/>
      <c r="BX225" s="8"/>
      <c r="BY225" s="6"/>
      <c r="CE225" s="7"/>
    </row>
    <row r="226" spans="1:83" ht="14" x14ac:dyDescent="0.3">
      <c r="A226" s="2">
        <f t="shared" si="4"/>
        <v>112</v>
      </c>
      <c r="B226" s="2">
        <v>671.755</v>
      </c>
      <c r="C226" s="2">
        <v>588.27300000000002</v>
      </c>
      <c r="D226" s="2">
        <v>525.64099999999996</v>
      </c>
      <c r="E226" s="2">
        <v>616.91099999999994</v>
      </c>
      <c r="F226" s="2">
        <f t="shared" si="17"/>
        <v>-1399.355</v>
      </c>
      <c r="G226">
        <f t="shared" si="30"/>
        <v>-1.2865000000001601</v>
      </c>
      <c r="H226" s="1">
        <v>772.48800000000006</v>
      </c>
      <c r="I226" s="1">
        <v>672.798</v>
      </c>
      <c r="J226" s="1">
        <v>990.28700000000003</v>
      </c>
      <c r="K226" s="1">
        <v>663.03099999999995</v>
      </c>
      <c r="L226" s="2">
        <f t="shared" si="31"/>
        <v>-1225.3489999999999</v>
      </c>
      <c r="M226">
        <f t="shared" si="32"/>
        <v>-5.7434999999995853</v>
      </c>
      <c r="N226" s="1">
        <v>1692.4960000000001</v>
      </c>
      <c r="O226" s="1">
        <v>819.50900000000001</v>
      </c>
      <c r="P226" s="1">
        <v>1142.9860000000001</v>
      </c>
      <c r="Q226" s="1">
        <v>573.67700000000002</v>
      </c>
      <c r="R226" s="2">
        <f t="shared" si="21"/>
        <v>-942.83300000000008</v>
      </c>
      <c r="S226">
        <f t="shared" si="33"/>
        <v>-7.1159999999999854</v>
      </c>
      <c r="T226" s="1">
        <v>1042.652</v>
      </c>
      <c r="U226" s="1">
        <v>634.51700000000005</v>
      </c>
      <c r="V226" s="1">
        <v>881.87800000000004</v>
      </c>
      <c r="W226" s="1">
        <v>714.18600000000004</v>
      </c>
      <c r="X226" s="2">
        <f t="shared" si="23"/>
        <v>-981.13949999999988</v>
      </c>
      <c r="Y226" s="6"/>
      <c r="Z226" s="7"/>
      <c r="AB226" s="6"/>
      <c r="AC226" s="8"/>
      <c r="AD226" s="2">
        <f t="shared" si="34"/>
        <v>2.9249999999999545</v>
      </c>
      <c r="AE226" s="2"/>
      <c r="AF226" s="2"/>
      <c r="AG226" s="2"/>
      <c r="AH226" s="2"/>
      <c r="AI226" s="2"/>
      <c r="AJ226" s="6"/>
      <c r="AK226" s="6"/>
      <c r="AL226" s="6"/>
      <c r="AM226" s="6"/>
      <c r="AN226" s="6"/>
      <c r="AO226" s="6"/>
      <c r="AP226" s="6"/>
      <c r="AQ226" s="6"/>
      <c r="AR226" s="6"/>
      <c r="AS226" s="6"/>
      <c r="AT226" s="6"/>
      <c r="AU226" s="6"/>
      <c r="AV226" s="7"/>
      <c r="AW226" s="7"/>
      <c r="AX226" s="7"/>
      <c r="AY226" s="7"/>
      <c r="BB226" s="6"/>
      <c r="BC226" s="6"/>
      <c r="BD226" s="6"/>
      <c r="BE226" s="6"/>
      <c r="BF226" s="6"/>
      <c r="BG226" s="6"/>
      <c r="BH226" s="6"/>
      <c r="BI226" s="8"/>
      <c r="BJ226" s="6"/>
      <c r="BK226" s="6"/>
      <c r="BL226" s="6"/>
      <c r="BM226" s="6"/>
      <c r="BN226" s="6"/>
      <c r="BO226" s="6"/>
      <c r="BP226" s="6"/>
      <c r="BQ226" s="6"/>
      <c r="BR226" s="9"/>
      <c r="BS226" s="6"/>
      <c r="BT226" s="8"/>
      <c r="BU226" s="6"/>
      <c r="BV226" s="6"/>
      <c r="BW226" s="6"/>
      <c r="BX226" s="8"/>
      <c r="BY226" s="6"/>
      <c r="CE226" s="7"/>
    </row>
    <row r="227" spans="1:83" ht="14" x14ac:dyDescent="0.3">
      <c r="A227" s="2">
        <f t="shared" si="4"/>
        <v>112.5</v>
      </c>
      <c r="B227" s="2">
        <v>670.85</v>
      </c>
      <c r="C227" s="2">
        <v>586.13900000000001</v>
      </c>
      <c r="D227" s="2">
        <v>524.75400000000002</v>
      </c>
      <c r="E227" s="2">
        <v>615.56600000000003</v>
      </c>
      <c r="F227" s="2">
        <f t="shared" si="17"/>
        <v>-1400.67275</v>
      </c>
      <c r="G227">
        <f t="shared" si="30"/>
        <v>-0.13049999999975626</v>
      </c>
      <c r="H227" s="1">
        <v>773.48599999999999</v>
      </c>
      <c r="I227" s="1">
        <v>671.42</v>
      </c>
      <c r="J227" s="1">
        <v>989.024</v>
      </c>
      <c r="K227" s="1">
        <v>670.87</v>
      </c>
      <c r="L227" s="2">
        <f t="shared" si="31"/>
        <v>-1223.8000000000002</v>
      </c>
      <c r="M227">
        <f t="shared" si="32"/>
        <v>-1.3955000000000837</v>
      </c>
      <c r="N227" s="1">
        <v>1688.3489999999999</v>
      </c>
      <c r="O227" s="1">
        <v>817.28399999999999</v>
      </c>
      <c r="P227" s="1">
        <v>1140.8130000000001</v>
      </c>
      <c r="Q227" s="1">
        <v>573.03899999999999</v>
      </c>
      <c r="R227" s="2">
        <f t="shared" si="21"/>
        <v>-945.12875000000008</v>
      </c>
      <c r="S227">
        <f t="shared" si="33"/>
        <v>-7.4459999999999127</v>
      </c>
      <c r="T227" s="1">
        <v>1040.5820000000001</v>
      </c>
      <c r="U227" s="1">
        <v>633.42899999999997</v>
      </c>
      <c r="V227" s="1">
        <v>880.41899999999998</v>
      </c>
      <c r="W227" s="1">
        <v>712.947</v>
      </c>
      <c r="X227" s="2">
        <f t="shared" si="23"/>
        <v>-982.93050000000005</v>
      </c>
      <c r="Y227" s="6"/>
      <c r="Z227" s="7"/>
      <c r="AB227" s="6"/>
      <c r="AC227" s="8"/>
      <c r="AD227" s="2">
        <f t="shared" si="34"/>
        <v>-0.41999999999961801</v>
      </c>
      <c r="AE227" s="2"/>
      <c r="AF227" s="2"/>
      <c r="AG227" s="3"/>
      <c r="AH227" s="2"/>
      <c r="AI227" s="2"/>
      <c r="AJ227" s="6"/>
      <c r="AK227" s="6"/>
      <c r="AL227" s="6"/>
      <c r="AM227" s="6"/>
      <c r="AN227" s="6"/>
      <c r="AO227" s="6"/>
      <c r="AP227" s="6"/>
      <c r="AQ227" s="6"/>
      <c r="AR227" s="6"/>
      <c r="AS227" s="6"/>
      <c r="AT227" s="6"/>
      <c r="AU227" s="6"/>
      <c r="AV227" s="7"/>
      <c r="AW227" s="7"/>
      <c r="AX227" s="7"/>
      <c r="AY227" s="7"/>
      <c r="BB227" s="6"/>
      <c r="BC227" s="6"/>
      <c r="BD227" s="8"/>
      <c r="BE227" s="6"/>
      <c r="BF227" s="6"/>
      <c r="BG227" s="6"/>
      <c r="BH227" s="6"/>
      <c r="BI227" s="8"/>
      <c r="BJ227" s="6"/>
      <c r="BK227" s="6"/>
      <c r="BL227" s="6"/>
      <c r="BM227" s="6"/>
      <c r="BN227" s="6"/>
      <c r="BO227" s="6"/>
      <c r="BP227" s="6"/>
      <c r="BQ227" s="6"/>
      <c r="BR227" s="6"/>
      <c r="BS227" s="6"/>
      <c r="BT227" s="8"/>
      <c r="BU227" s="6"/>
      <c r="BV227" s="6"/>
      <c r="BW227" s="6"/>
      <c r="BX227" s="8"/>
      <c r="BY227" s="6"/>
      <c r="CE227" s="7"/>
    </row>
    <row r="228" spans="1:83" ht="14" x14ac:dyDescent="0.3">
      <c r="A228" s="2">
        <f t="shared" si="4"/>
        <v>113</v>
      </c>
      <c r="B228" s="2">
        <v>669.28899999999999</v>
      </c>
      <c r="C228" s="2">
        <v>585.86400000000003</v>
      </c>
      <c r="D228" s="2">
        <v>525.21299999999997</v>
      </c>
      <c r="E228" s="2">
        <v>614.37</v>
      </c>
      <c r="F228" s="2">
        <f t="shared" si="17"/>
        <v>-1401.316</v>
      </c>
      <c r="G228">
        <f t="shared" si="30"/>
        <v>-3.7925000000004729</v>
      </c>
      <c r="H228" s="1">
        <v>770.54399999999998</v>
      </c>
      <c r="I228" s="1">
        <v>671.68700000000001</v>
      </c>
      <c r="J228" s="1">
        <v>988.46400000000006</v>
      </c>
      <c r="K228" s="1">
        <v>662.61800000000005</v>
      </c>
      <c r="L228" s="2">
        <f t="shared" si="31"/>
        <v>-1226.67175</v>
      </c>
      <c r="M228">
        <f t="shared" si="32"/>
        <v>-0.92700000000013461</v>
      </c>
      <c r="N228" s="1">
        <v>1679.38</v>
      </c>
      <c r="O228" s="1">
        <v>816.98599999999999</v>
      </c>
      <c r="P228" s="1">
        <v>1136.616</v>
      </c>
      <c r="Q228" s="1">
        <v>572.27099999999996</v>
      </c>
      <c r="R228" s="2">
        <f t="shared" si="21"/>
        <v>-948.68675000000007</v>
      </c>
      <c r="S228">
        <f t="shared" si="33"/>
        <v>-2.619499999999789</v>
      </c>
      <c r="T228" s="1">
        <v>1049.944</v>
      </c>
      <c r="U228" s="1">
        <v>632.94100000000003</v>
      </c>
      <c r="V228" s="1">
        <v>879.15099999999995</v>
      </c>
      <c r="W228" s="1">
        <v>712.26099999999997</v>
      </c>
      <c r="X228" s="2">
        <f t="shared" si="23"/>
        <v>-981.46800000000007</v>
      </c>
      <c r="Y228" s="6"/>
      <c r="Z228" s="7"/>
      <c r="AB228" s="6"/>
      <c r="AC228" s="8"/>
      <c r="AD228" s="2">
        <f t="shared" si="34"/>
        <v>-3.1315000000001874</v>
      </c>
      <c r="AE228" s="2"/>
      <c r="AF228" s="2"/>
      <c r="AG228" s="2"/>
      <c r="AH228" s="2"/>
      <c r="AI228" s="2"/>
      <c r="AJ228" s="6"/>
      <c r="AK228" s="6"/>
      <c r="AL228" s="6"/>
      <c r="AM228" s="6"/>
      <c r="AN228" s="6"/>
      <c r="AO228" s="6"/>
      <c r="AP228" s="6"/>
      <c r="AQ228" s="6"/>
      <c r="AR228" s="6"/>
      <c r="AS228" s="6"/>
      <c r="AT228" s="6"/>
      <c r="AU228" s="6"/>
      <c r="AV228" s="7"/>
      <c r="AW228" s="7"/>
      <c r="AX228" s="7"/>
      <c r="AY228" s="7"/>
      <c r="BB228" s="6"/>
      <c r="BC228" s="6"/>
      <c r="BD228" s="8"/>
      <c r="BE228" s="6"/>
      <c r="BF228" s="6"/>
      <c r="BG228" s="6"/>
      <c r="BH228" s="6"/>
      <c r="BI228" s="8"/>
      <c r="BJ228" s="6"/>
      <c r="BK228" s="6"/>
      <c r="BL228" s="6"/>
      <c r="BM228" s="6"/>
      <c r="BN228" s="6"/>
      <c r="BO228" s="6"/>
      <c r="BP228" s="6"/>
      <c r="BQ228" s="6"/>
      <c r="BR228" s="6"/>
      <c r="BS228" s="6"/>
      <c r="BT228" s="8"/>
      <c r="BU228" s="6"/>
      <c r="BV228" s="6"/>
      <c r="BW228" s="6"/>
      <c r="BX228" s="8"/>
      <c r="BY228" s="6"/>
      <c r="CE228" s="7"/>
    </row>
    <row r="229" spans="1:83" ht="14" x14ac:dyDescent="0.3">
      <c r="A229" s="2">
        <f t="shared" si="4"/>
        <v>113.5</v>
      </c>
      <c r="B229" s="2">
        <v>669.28899999999999</v>
      </c>
      <c r="C229" s="2">
        <v>586.71500000000003</v>
      </c>
      <c r="D229" s="2">
        <v>524.60400000000004</v>
      </c>
      <c r="E229" s="2">
        <v>613.86699999999996</v>
      </c>
      <c r="F229" s="2">
        <f t="shared" si="17"/>
        <v>-1401.3812499999999</v>
      </c>
      <c r="G229">
        <f t="shared" si="30"/>
        <v>-0.58399999999983265</v>
      </c>
      <c r="H229" s="1">
        <v>768.75300000000004</v>
      </c>
      <c r="I229" s="1">
        <v>669.41700000000003</v>
      </c>
      <c r="J229" s="1">
        <v>986.904</v>
      </c>
      <c r="K229" s="1">
        <v>665.44799999999998</v>
      </c>
      <c r="L229" s="2">
        <f t="shared" si="31"/>
        <v>-1227.3695</v>
      </c>
      <c r="M229">
        <f t="shared" si="32"/>
        <v>-2.5589999999997417</v>
      </c>
      <c r="N229" s="1">
        <v>1676.6559999999999</v>
      </c>
      <c r="O229" s="1">
        <v>811.44600000000003</v>
      </c>
      <c r="P229" s="1">
        <v>1130.9280000000001</v>
      </c>
      <c r="Q229" s="1">
        <v>571.33100000000002</v>
      </c>
      <c r="R229" s="2">
        <f t="shared" si="21"/>
        <v>-952.40975000000003</v>
      </c>
      <c r="S229">
        <f t="shared" si="33"/>
        <v>-7.5360000000000582</v>
      </c>
      <c r="T229" s="1">
        <v>1050.18</v>
      </c>
      <c r="U229" s="1">
        <v>632.46600000000001</v>
      </c>
      <c r="V229" s="1">
        <v>879.08799999999997</v>
      </c>
      <c r="W229" s="1">
        <v>712.56899999999996</v>
      </c>
      <c r="X229" s="2">
        <f t="shared" si="23"/>
        <v>-981.67799999999988</v>
      </c>
      <c r="Y229" s="6"/>
      <c r="Z229" s="7"/>
      <c r="AB229" s="6"/>
      <c r="AC229" s="8"/>
      <c r="AD229" s="2">
        <f t="shared" si="34"/>
        <v>-3.1984999999999673</v>
      </c>
      <c r="AE229" s="2"/>
      <c r="AF229" s="2"/>
      <c r="AG229" s="2"/>
      <c r="AH229" s="2"/>
      <c r="AI229" s="2"/>
      <c r="AJ229" s="6"/>
      <c r="AK229" s="6"/>
      <c r="AL229" s="6"/>
      <c r="AM229" s="6"/>
      <c r="AN229" s="6"/>
      <c r="AO229" s="6"/>
      <c r="AP229" s="6"/>
      <c r="AQ229" s="6"/>
      <c r="AR229" s="6"/>
      <c r="AS229" s="6"/>
      <c r="AT229" s="6"/>
      <c r="AU229" s="6"/>
      <c r="AV229" s="7"/>
      <c r="AW229" s="7"/>
      <c r="AX229" s="7"/>
      <c r="AY229" s="7"/>
      <c r="BB229" s="6"/>
      <c r="BC229" s="6"/>
      <c r="BD229" s="8"/>
      <c r="BE229" s="6"/>
      <c r="BF229" s="6"/>
      <c r="BG229" s="6"/>
      <c r="BH229" s="6"/>
      <c r="BI229" s="8"/>
      <c r="BJ229" s="6"/>
      <c r="BK229" s="6"/>
      <c r="BL229" s="6"/>
      <c r="BM229" s="9"/>
      <c r="BN229" s="6"/>
      <c r="BO229" s="6"/>
      <c r="BP229" s="6"/>
      <c r="BQ229" s="6"/>
      <c r="BR229" s="6"/>
      <c r="BS229" s="6"/>
      <c r="BT229" s="8"/>
      <c r="BU229" s="6"/>
      <c r="BV229" s="6"/>
      <c r="BW229" s="6"/>
      <c r="BX229" s="8"/>
      <c r="BY229" s="6"/>
      <c r="CE229" s="7"/>
    </row>
    <row r="230" spans="1:83" ht="14" x14ac:dyDescent="0.3">
      <c r="A230" s="2">
        <f t="shared" si="4"/>
        <v>114</v>
      </c>
      <c r="B230" s="2">
        <v>666.90700000000004</v>
      </c>
      <c r="C230" s="2">
        <v>584.75599999999997</v>
      </c>
      <c r="D230" s="2">
        <v>524.12900000000002</v>
      </c>
      <c r="E230" s="2">
        <v>611.09799999999996</v>
      </c>
      <c r="F230" s="2">
        <f t="shared" si="17"/>
        <v>-1403.2775000000001</v>
      </c>
      <c r="G230">
        <f t="shared" si="30"/>
        <v>-0.83599999999978536</v>
      </c>
      <c r="H230" s="1">
        <v>770.66300000000001</v>
      </c>
      <c r="I230" s="10">
        <v>668.48199999999997</v>
      </c>
      <c r="J230" s="1">
        <v>983.79</v>
      </c>
      <c r="K230" s="1">
        <v>665.73299999999995</v>
      </c>
      <c r="L230" s="2">
        <f t="shared" si="31"/>
        <v>-1227.8330000000001</v>
      </c>
      <c r="M230">
        <f t="shared" si="32"/>
        <v>-0.49850000000014916</v>
      </c>
      <c r="N230" s="1">
        <v>1672.53</v>
      </c>
      <c r="O230" s="1">
        <v>812.11400000000003</v>
      </c>
      <c r="P230" s="1">
        <v>1129.5</v>
      </c>
      <c r="Q230" s="1">
        <v>570.97799999999995</v>
      </c>
      <c r="R230" s="2">
        <f t="shared" si="21"/>
        <v>-953.71949999999993</v>
      </c>
      <c r="S230">
        <f t="shared" si="33"/>
        <v>-2.7380000000002838</v>
      </c>
      <c r="T230" s="1">
        <v>1045.971</v>
      </c>
      <c r="U230" s="1">
        <v>632.64099999999996</v>
      </c>
      <c r="V230" s="1">
        <v>877.88599999999997</v>
      </c>
      <c r="W230" s="1">
        <v>711.505</v>
      </c>
      <c r="X230" s="2">
        <f t="shared" si="23"/>
        <v>-983.24374999999998</v>
      </c>
      <c r="Y230" s="6"/>
      <c r="Z230" s="7"/>
      <c r="AB230" s="6"/>
      <c r="AC230" s="8"/>
      <c r="AD230" s="2">
        <f t="shared" si="34"/>
        <v>1.2569999999998345</v>
      </c>
      <c r="AE230" s="2"/>
      <c r="AF230" s="2"/>
      <c r="AG230" s="2"/>
      <c r="AH230" s="2"/>
      <c r="AI230" s="2"/>
      <c r="AJ230" s="6"/>
      <c r="AK230" s="6"/>
      <c r="AL230" s="6"/>
      <c r="AM230" s="6"/>
      <c r="AN230" s="6"/>
      <c r="AO230" s="6"/>
      <c r="AP230" s="6"/>
      <c r="AQ230" s="6"/>
      <c r="AR230" s="6"/>
      <c r="AS230" s="6"/>
      <c r="AT230" s="6"/>
      <c r="AU230" s="6"/>
      <c r="AV230" s="7"/>
      <c r="AW230" s="7"/>
      <c r="AX230" s="11"/>
      <c r="AY230" s="7"/>
      <c r="BB230" s="6"/>
      <c r="BC230" s="6"/>
      <c r="BD230" s="6"/>
      <c r="BE230" s="6"/>
      <c r="BF230" s="6"/>
      <c r="BG230" s="6"/>
      <c r="BH230" s="6"/>
      <c r="BI230" s="8"/>
      <c r="BJ230" s="6"/>
      <c r="BK230" s="6"/>
      <c r="BL230" s="6"/>
      <c r="BM230" s="6"/>
      <c r="BN230" s="6"/>
      <c r="BO230" s="9"/>
      <c r="BP230" s="6"/>
      <c r="BQ230" s="6"/>
      <c r="BR230" s="6"/>
      <c r="BS230" s="6"/>
      <c r="BT230" s="8"/>
      <c r="BU230" s="6"/>
      <c r="BV230" s="6"/>
      <c r="BW230" s="6"/>
      <c r="BX230" s="8"/>
      <c r="BY230" s="6"/>
      <c r="CE230" s="7"/>
    </row>
    <row r="231" spans="1:83" ht="14" x14ac:dyDescent="0.3">
      <c r="A231" s="2">
        <f t="shared" si="4"/>
        <v>114.5</v>
      </c>
      <c r="B231" s="2">
        <v>667.72299999999996</v>
      </c>
      <c r="C231" s="2">
        <v>582.73</v>
      </c>
      <c r="D231" s="2">
        <v>524.10599999999999</v>
      </c>
      <c r="E231" s="2">
        <v>611.16300000000001</v>
      </c>
      <c r="F231" s="2">
        <f t="shared" si="17"/>
        <v>-1403.5695000000001</v>
      </c>
      <c r="G231">
        <f t="shared" si="30"/>
        <v>-3.4474999999997635</v>
      </c>
      <c r="H231" s="1">
        <v>769.28700000000003</v>
      </c>
      <c r="I231" s="1">
        <v>668.27099999999996</v>
      </c>
      <c r="J231" s="1">
        <v>983.70299999999997</v>
      </c>
      <c r="K231" s="1">
        <v>662.28899999999999</v>
      </c>
      <c r="L231" s="2">
        <f t="shared" si="31"/>
        <v>-1229.1125</v>
      </c>
      <c r="M231">
        <f t="shared" si="32"/>
        <v>-1.1035000000001673</v>
      </c>
      <c r="N231" s="1">
        <v>1666.117</v>
      </c>
      <c r="O231" s="1">
        <v>809.35599999999999</v>
      </c>
      <c r="P231" s="1">
        <v>1124.328</v>
      </c>
      <c r="Q231" s="1">
        <v>570.24900000000002</v>
      </c>
      <c r="R231" s="2">
        <f t="shared" si="21"/>
        <v>-957.48749999999995</v>
      </c>
      <c r="S231">
        <f t="shared" si="33"/>
        <v>-11.019999999999527</v>
      </c>
      <c r="T231" s="1">
        <v>1043.952</v>
      </c>
      <c r="U231" s="1">
        <v>631.72799999999995</v>
      </c>
      <c r="V231" s="1">
        <v>876.61</v>
      </c>
      <c r="W231" s="1">
        <v>711.59199999999998</v>
      </c>
      <c r="X231" s="2">
        <f t="shared" si="23"/>
        <v>-984.84299999999996</v>
      </c>
      <c r="Y231" s="6"/>
      <c r="Z231" s="7"/>
      <c r="AB231" s="6"/>
      <c r="AC231" s="8"/>
      <c r="AD231" s="2">
        <f t="shared" si="34"/>
        <v>-6.7684999999999036</v>
      </c>
      <c r="AE231" s="2"/>
      <c r="AF231" s="2"/>
      <c r="AG231" s="2"/>
      <c r="AH231" s="2"/>
      <c r="AI231" s="2"/>
      <c r="AJ231" s="6"/>
      <c r="AK231" s="6"/>
      <c r="AL231" s="6"/>
      <c r="AM231" s="6"/>
      <c r="AN231" s="6"/>
      <c r="AO231" s="6"/>
      <c r="AP231" s="6"/>
      <c r="AQ231" s="6"/>
      <c r="AR231" s="6"/>
      <c r="AS231" s="6"/>
      <c r="AT231" s="6"/>
      <c r="AU231" s="6"/>
      <c r="AV231" s="7"/>
      <c r="AW231" s="7"/>
      <c r="AX231" s="7"/>
      <c r="AY231" s="7"/>
      <c r="BB231" s="6"/>
      <c r="BC231" s="6"/>
      <c r="BD231" s="6"/>
      <c r="BE231" s="6"/>
      <c r="BF231" s="6"/>
      <c r="BG231" s="6"/>
      <c r="BH231" s="6"/>
      <c r="BI231" s="6"/>
      <c r="BJ231" s="6"/>
      <c r="BK231" s="6"/>
      <c r="BL231" s="6"/>
      <c r="BM231" s="6"/>
      <c r="BN231" s="6"/>
      <c r="BO231" s="6"/>
      <c r="BP231" s="6"/>
      <c r="BQ231" s="6"/>
      <c r="BR231" s="6"/>
      <c r="BS231" s="6"/>
      <c r="BT231" s="8"/>
      <c r="BU231" s="6"/>
      <c r="BV231" s="6"/>
      <c r="BW231" s="6"/>
      <c r="BX231" s="8"/>
      <c r="BY231" s="6"/>
      <c r="CE231" s="7"/>
    </row>
    <row r="232" spans="1:83" ht="14" x14ac:dyDescent="0.3">
      <c r="A232" s="2">
        <f t="shared" si="4"/>
        <v>115</v>
      </c>
      <c r="B232" s="2">
        <v>667.51300000000003</v>
      </c>
      <c r="C232" s="2">
        <v>582.58100000000002</v>
      </c>
      <c r="D232" s="2">
        <v>524.28399999999999</v>
      </c>
      <c r="E232" s="2">
        <v>609.67200000000003</v>
      </c>
      <c r="F232" s="2">
        <f t="shared" si="17"/>
        <v>-1403.9875</v>
      </c>
      <c r="G232">
        <f t="shared" si="30"/>
        <v>0.53299999999944703</v>
      </c>
      <c r="H232" s="1">
        <v>768.61900000000003</v>
      </c>
      <c r="I232" s="1">
        <v>668.19500000000005</v>
      </c>
      <c r="J232" s="1">
        <v>983.06</v>
      </c>
      <c r="K232" s="1">
        <v>662.67899999999997</v>
      </c>
      <c r="L232" s="2">
        <f t="shared" si="31"/>
        <v>-1229.36175</v>
      </c>
      <c r="M232">
        <f t="shared" si="32"/>
        <v>-0.90649999999959618</v>
      </c>
      <c r="N232" s="1">
        <v>1664.623</v>
      </c>
      <c r="O232" s="1">
        <v>808.96199999999999</v>
      </c>
      <c r="P232" s="1">
        <v>1121.258</v>
      </c>
      <c r="Q232" s="1">
        <v>569.73099999999999</v>
      </c>
      <c r="R232" s="2">
        <f t="shared" si="21"/>
        <v>-958.8565000000001</v>
      </c>
      <c r="S232">
        <f t="shared" si="33"/>
        <v>-1.6665000000002692</v>
      </c>
      <c r="T232" s="1">
        <v>1044.588</v>
      </c>
      <c r="U232" s="1">
        <v>631.75199999999995</v>
      </c>
      <c r="V232" s="1">
        <v>877.52499999999998</v>
      </c>
      <c r="W232" s="1">
        <v>712.33</v>
      </c>
      <c r="X232" s="2">
        <f t="shared" si="23"/>
        <v>-984.21450000000004</v>
      </c>
      <c r="Y232" s="6"/>
      <c r="Z232" s="7"/>
      <c r="AB232" s="6"/>
      <c r="AC232" s="8"/>
      <c r="AD232" s="2">
        <f t="shared" si="34"/>
        <v>1.7779999999997926</v>
      </c>
      <c r="AE232" s="2"/>
      <c r="AF232" s="3"/>
      <c r="AG232" s="2"/>
      <c r="AH232" s="2"/>
      <c r="AI232" s="2"/>
      <c r="AJ232" s="6"/>
      <c r="AK232" s="6"/>
      <c r="AL232" s="6"/>
      <c r="AM232" s="6"/>
      <c r="AN232" s="6"/>
      <c r="AO232" s="6"/>
      <c r="AP232" s="6"/>
      <c r="AQ232" s="6"/>
      <c r="AR232" s="6"/>
      <c r="AS232" s="6"/>
      <c r="AT232" s="9"/>
      <c r="AU232" s="6"/>
      <c r="AV232" s="7"/>
      <c r="AW232" s="7"/>
      <c r="AX232" s="7"/>
      <c r="AY232" s="7"/>
      <c r="BB232" s="6"/>
      <c r="BC232" s="8"/>
      <c r="BD232" s="6"/>
      <c r="BE232" s="6"/>
      <c r="BF232" s="6"/>
      <c r="BG232" s="8"/>
      <c r="BH232" s="6"/>
      <c r="BI232" s="6"/>
      <c r="BJ232" s="6"/>
      <c r="BK232" s="6"/>
      <c r="BL232" s="6"/>
      <c r="BM232" s="6"/>
      <c r="BN232" s="6"/>
      <c r="BO232" s="6"/>
      <c r="BP232" s="6"/>
      <c r="BQ232" s="6"/>
      <c r="BR232" s="6"/>
      <c r="BS232" s="6"/>
      <c r="BT232" s="8"/>
      <c r="BU232" s="6"/>
      <c r="BV232" s="6"/>
      <c r="BW232" s="6"/>
      <c r="BX232" s="8"/>
      <c r="BY232" s="6"/>
      <c r="CE232" s="7"/>
    </row>
    <row r="233" spans="1:83" ht="14" x14ac:dyDescent="0.3">
      <c r="A233" s="2">
        <f t="shared" si="4"/>
        <v>115.5</v>
      </c>
      <c r="B233" s="2">
        <v>665.26700000000005</v>
      </c>
      <c r="C233" s="2">
        <v>580.78899999999999</v>
      </c>
      <c r="D233" s="2">
        <v>524.226</v>
      </c>
      <c r="E233" s="2">
        <v>606.87300000000005</v>
      </c>
      <c r="F233" s="2">
        <f t="shared" si="17"/>
        <v>-1405.7112499999998</v>
      </c>
      <c r="G233">
        <f t="shared" si="30"/>
        <v>-3.38799999999992</v>
      </c>
      <c r="H233" s="1">
        <v>766.88</v>
      </c>
      <c r="I233" s="1">
        <v>667.94100000000003</v>
      </c>
      <c r="J233" s="2">
        <v>981.34100000000001</v>
      </c>
      <c r="K233" s="1">
        <v>664.18399999999997</v>
      </c>
      <c r="L233" s="2">
        <f t="shared" si="31"/>
        <v>-1229.9135000000001</v>
      </c>
      <c r="M233">
        <f t="shared" si="32"/>
        <v>0.88349999999991269</v>
      </c>
      <c r="N233" s="1">
        <v>1654.894</v>
      </c>
      <c r="O233" s="1">
        <v>804.03300000000002</v>
      </c>
      <c r="P233" s="1">
        <v>1114.9090000000001</v>
      </c>
      <c r="Q233" s="1">
        <v>568.69799999999998</v>
      </c>
      <c r="R233" s="2">
        <f t="shared" si="21"/>
        <v>-964.36649999999986</v>
      </c>
      <c r="S233">
        <f t="shared" si="33"/>
        <v>-5.68100000000004</v>
      </c>
      <c r="T233" s="1">
        <v>1041.6410000000001</v>
      </c>
      <c r="U233" s="1">
        <v>629.78700000000003</v>
      </c>
      <c r="V233" s="1">
        <v>874.19500000000005</v>
      </c>
      <c r="W233" s="1">
        <v>708.59699999999998</v>
      </c>
      <c r="X233" s="2">
        <f t="shared" si="23"/>
        <v>-987.59875</v>
      </c>
      <c r="Y233" s="6"/>
      <c r="Z233" s="7"/>
      <c r="AB233" s="6"/>
      <c r="AC233" s="8"/>
      <c r="AD233" s="2">
        <f t="shared" si="34"/>
        <v>0.35650000000032378</v>
      </c>
      <c r="AE233" s="2"/>
      <c r="AF233" s="2"/>
      <c r="AG233" s="2"/>
      <c r="AH233" s="2"/>
      <c r="AI233" s="2"/>
      <c r="AJ233" s="6"/>
      <c r="AK233" s="6"/>
      <c r="AL233" s="6"/>
      <c r="AM233" s="6"/>
      <c r="AN233" s="6"/>
      <c r="AO233" s="6"/>
      <c r="AP233" s="6"/>
      <c r="AQ233" s="6"/>
      <c r="AR233" s="6"/>
      <c r="AS233" s="6"/>
      <c r="AT233" s="6"/>
      <c r="AU233" s="6"/>
      <c r="AV233" s="7"/>
      <c r="AW233" s="7"/>
      <c r="AX233" s="11"/>
      <c r="AY233" s="7"/>
      <c r="BB233" s="6"/>
      <c r="BC233" s="8"/>
      <c r="BD233" s="6"/>
      <c r="BE233" s="6"/>
      <c r="BF233" s="6"/>
      <c r="BG233" s="8"/>
      <c r="BH233" s="6"/>
      <c r="BI233" s="6"/>
      <c r="BJ233" s="6"/>
      <c r="BK233" s="6"/>
      <c r="BL233" s="6"/>
      <c r="BM233" s="6"/>
      <c r="BN233" s="6"/>
      <c r="BO233" s="8"/>
      <c r="BP233" s="6"/>
      <c r="BQ233" s="6"/>
      <c r="BR233" s="9"/>
      <c r="BS233" s="6"/>
      <c r="BT233" s="8"/>
      <c r="BU233" s="6"/>
      <c r="BV233" s="6"/>
      <c r="BW233" s="6"/>
      <c r="BX233" s="8"/>
      <c r="BY233" s="6"/>
      <c r="CE233" s="7"/>
    </row>
    <row r="234" spans="1:83" ht="14" x14ac:dyDescent="0.3">
      <c r="A234" s="2">
        <f t="shared" si="4"/>
        <v>116</v>
      </c>
      <c r="B234" s="2">
        <v>666.45100000000002</v>
      </c>
      <c r="C234" s="2">
        <v>580.75900000000001</v>
      </c>
      <c r="D234" s="2">
        <v>524.20299999999997</v>
      </c>
      <c r="E234" s="2">
        <v>606.80799999999999</v>
      </c>
      <c r="F234" s="2">
        <f t="shared" si="17"/>
        <v>-1405.4447500000001</v>
      </c>
      <c r="G234">
        <f t="shared" si="30"/>
        <v>0.69050000000015643</v>
      </c>
      <c r="H234" s="1">
        <v>768.61900000000003</v>
      </c>
      <c r="I234" s="1">
        <v>665.52700000000004</v>
      </c>
      <c r="J234" s="2">
        <v>979.98</v>
      </c>
      <c r="K234" s="1">
        <v>664.40700000000004</v>
      </c>
      <c r="L234" s="2">
        <f t="shared" si="31"/>
        <v>-1230.3667499999999</v>
      </c>
      <c r="M234">
        <f t="shared" si="32"/>
        <v>-5.4829999999997199</v>
      </c>
      <c r="N234" s="1">
        <v>1654.125</v>
      </c>
      <c r="O234" s="1">
        <v>803.452</v>
      </c>
      <c r="P234" s="1">
        <v>1113.0409999999999</v>
      </c>
      <c r="Q234" s="1">
        <v>568.58299999999997</v>
      </c>
      <c r="R234" s="2">
        <f t="shared" si="21"/>
        <v>-965.19974999999999</v>
      </c>
      <c r="S234">
        <f t="shared" si="33"/>
        <v>-4.5875000000000909</v>
      </c>
      <c r="T234" s="1">
        <v>1045.4649999999999</v>
      </c>
      <c r="U234" s="1">
        <v>629.62099999999998</v>
      </c>
      <c r="V234" s="1">
        <v>874.22699999999998</v>
      </c>
      <c r="W234" s="1">
        <v>706.28800000000001</v>
      </c>
      <c r="X234" s="2">
        <f t="shared" si="23"/>
        <v>-986.7097500000001</v>
      </c>
      <c r="Y234" s="6"/>
      <c r="Z234" s="7"/>
      <c r="AB234" s="6"/>
      <c r="AC234" s="8"/>
      <c r="AD234" s="2">
        <f t="shared" si="34"/>
        <v>-4.7185000000001764</v>
      </c>
      <c r="AE234" s="2"/>
      <c r="AF234" s="2"/>
      <c r="AG234" s="2"/>
      <c r="AH234" s="2"/>
      <c r="AI234" s="2"/>
      <c r="AJ234" s="6"/>
      <c r="AK234" s="6"/>
      <c r="AL234" s="6"/>
      <c r="AM234" s="6"/>
      <c r="AN234" s="6"/>
      <c r="AO234" s="9"/>
      <c r="AP234" s="6"/>
      <c r="AQ234" s="6"/>
      <c r="AR234" s="6"/>
      <c r="AS234" s="6"/>
      <c r="AT234" s="6"/>
      <c r="AU234" s="6"/>
      <c r="AV234" s="7"/>
      <c r="AW234" s="7"/>
      <c r="AX234" s="7"/>
      <c r="AY234" s="7"/>
      <c r="BB234" s="6"/>
      <c r="BC234" s="8"/>
      <c r="BD234" s="6"/>
      <c r="BE234" s="6"/>
      <c r="BF234" s="6"/>
      <c r="BG234" s="8"/>
      <c r="BH234" s="6"/>
      <c r="BI234" s="6"/>
      <c r="BJ234" s="9"/>
      <c r="BK234" s="6"/>
      <c r="BL234" s="6"/>
      <c r="BM234" s="6"/>
      <c r="BN234" s="6"/>
      <c r="BO234" s="8"/>
      <c r="BP234" s="6"/>
      <c r="BQ234" s="6"/>
      <c r="BR234" s="6"/>
      <c r="BS234" s="6"/>
      <c r="BT234" s="8"/>
      <c r="BU234" s="6"/>
      <c r="BV234" s="6"/>
      <c r="BW234" s="6"/>
      <c r="BX234" s="8"/>
      <c r="BY234" s="6"/>
      <c r="CE234" s="7"/>
    </row>
    <row r="235" spans="1:83" ht="14" x14ac:dyDescent="0.3">
      <c r="A235" s="2">
        <f t="shared" si="4"/>
        <v>116.5</v>
      </c>
      <c r="B235" s="2">
        <v>663.41800000000001</v>
      </c>
      <c r="C235" s="2">
        <v>580.68499999999995</v>
      </c>
      <c r="D235" s="2">
        <v>524.1</v>
      </c>
      <c r="E235" s="2">
        <v>603.24199999999996</v>
      </c>
      <c r="F235" s="2">
        <f t="shared" si="17"/>
        <v>-1407.1387500000001</v>
      </c>
      <c r="G235">
        <f t="shared" si="30"/>
        <v>-1.1349999999997635</v>
      </c>
      <c r="H235" s="1">
        <v>766.88</v>
      </c>
      <c r="I235" s="1">
        <v>666.08299999999997</v>
      </c>
      <c r="J235" s="1">
        <v>979.529</v>
      </c>
      <c r="K235" s="1">
        <v>667.80799999999999</v>
      </c>
      <c r="L235" s="2">
        <f t="shared" si="31"/>
        <v>-1229.925</v>
      </c>
      <c r="M235">
        <f t="shared" si="32"/>
        <v>7.8999999999723514E-2</v>
      </c>
      <c r="N235" s="1">
        <v>1647.463</v>
      </c>
      <c r="O235" s="1">
        <v>802.07</v>
      </c>
      <c r="P235" s="1">
        <v>1110.1569999999999</v>
      </c>
      <c r="Q235" s="1">
        <v>568.149</v>
      </c>
      <c r="R235" s="2">
        <f t="shared" si="21"/>
        <v>-968.04025000000001</v>
      </c>
      <c r="S235">
        <f t="shared" si="33"/>
        <v>-8.31899999999996</v>
      </c>
      <c r="T235" s="1">
        <v>1044.654</v>
      </c>
      <c r="U235" s="1">
        <v>630.18299999999999</v>
      </c>
      <c r="V235" s="1">
        <v>874.42700000000002</v>
      </c>
      <c r="W235" s="1">
        <v>708.19600000000003</v>
      </c>
      <c r="X235" s="2">
        <f t="shared" si="23"/>
        <v>-986.53149999999994</v>
      </c>
      <c r="Y235" s="6"/>
      <c r="Z235" s="7"/>
      <c r="AB235" s="6"/>
      <c r="AC235" s="8"/>
      <c r="AD235" s="2">
        <f t="shared" si="34"/>
        <v>-1.4259999999999309</v>
      </c>
      <c r="AE235" s="2"/>
      <c r="AF235" s="2"/>
      <c r="AG235" s="2"/>
      <c r="AH235" s="2"/>
      <c r="AI235" s="2"/>
      <c r="AJ235" s="6"/>
      <c r="AK235" s="6"/>
      <c r="AL235" s="6"/>
      <c r="AM235" s="6"/>
      <c r="AN235" s="6"/>
      <c r="AO235" s="6"/>
      <c r="AP235" s="6"/>
      <c r="AQ235" s="6"/>
      <c r="AR235" s="6"/>
      <c r="AS235" s="6"/>
      <c r="AT235" s="6"/>
      <c r="AU235" s="6"/>
      <c r="AV235" s="7"/>
      <c r="AW235" s="7"/>
      <c r="AX235" s="7"/>
      <c r="AY235" s="7"/>
      <c r="BB235" s="6"/>
      <c r="BC235" s="8"/>
      <c r="BD235" s="6"/>
      <c r="BE235" s="6"/>
      <c r="BF235" s="6"/>
      <c r="BG235" s="8"/>
      <c r="BH235" s="6"/>
      <c r="BI235" s="6"/>
      <c r="BJ235" s="6"/>
      <c r="BK235" s="6"/>
      <c r="BL235" s="6"/>
      <c r="BM235" s="6"/>
      <c r="BN235" s="6"/>
      <c r="BO235" s="8"/>
      <c r="BP235" s="6"/>
      <c r="BQ235" s="6"/>
      <c r="BR235" s="6"/>
      <c r="BS235" s="6"/>
      <c r="BT235" s="8"/>
      <c r="BU235" s="6"/>
      <c r="BV235" s="6"/>
      <c r="BW235" s="6"/>
      <c r="BX235" s="8"/>
      <c r="BY235" s="6"/>
      <c r="CE235" s="7"/>
    </row>
    <row r="236" spans="1:83" ht="14" x14ac:dyDescent="0.3">
      <c r="A236" s="2">
        <f t="shared" si="4"/>
        <v>117</v>
      </c>
      <c r="B236" s="2">
        <v>665.50800000000004</v>
      </c>
      <c r="C236" s="2">
        <v>579.31500000000005</v>
      </c>
      <c r="D236" s="2">
        <v>524.15899999999999</v>
      </c>
      <c r="E236" s="2">
        <v>603.84400000000005</v>
      </c>
      <c r="F236" s="2">
        <f t="shared" si="17"/>
        <v>-1406.7935</v>
      </c>
      <c r="G236">
        <f t="shared" si="30"/>
        <v>-1.387000000000171</v>
      </c>
      <c r="H236" s="1">
        <v>767.24699999999996</v>
      </c>
      <c r="I236" s="1">
        <v>664.952</v>
      </c>
      <c r="J236" s="1">
        <v>978.23500000000001</v>
      </c>
      <c r="K236" s="1">
        <v>658.9</v>
      </c>
      <c r="L236" s="2">
        <f t="shared" si="31"/>
        <v>-1232.6664999999998</v>
      </c>
      <c r="M236">
        <f t="shared" si="32"/>
        <v>0.37300000000004729</v>
      </c>
      <c r="N236" s="1">
        <v>1643.05</v>
      </c>
      <c r="O236" s="1">
        <v>800.78599999999994</v>
      </c>
      <c r="P236" s="1">
        <v>1107.192</v>
      </c>
      <c r="Q236" s="1">
        <v>567.63599999999997</v>
      </c>
      <c r="R236" s="2">
        <f t="shared" si="21"/>
        <v>-970.33400000000006</v>
      </c>
      <c r="S236">
        <f t="shared" si="33"/>
        <v>-5.5014999999998508</v>
      </c>
      <c r="T236" s="1">
        <v>1040.7729999999999</v>
      </c>
      <c r="U236" s="1">
        <v>628.70799999999997</v>
      </c>
      <c r="V236" s="1">
        <v>873.12400000000002</v>
      </c>
      <c r="W236" s="1">
        <v>706.07100000000003</v>
      </c>
      <c r="X236" s="2">
        <f t="shared" si="23"/>
        <v>-988.89075000000003</v>
      </c>
      <c r="Y236" s="6"/>
      <c r="Z236" s="7"/>
      <c r="AB236" s="6"/>
      <c r="AC236" s="8"/>
      <c r="AD236" s="2">
        <f t="shared" si="34"/>
        <v>1.1945000000000618</v>
      </c>
      <c r="AE236" s="2"/>
      <c r="AF236" s="2"/>
      <c r="AG236" s="2"/>
      <c r="AH236" s="2"/>
      <c r="AI236" s="2"/>
      <c r="AJ236" s="6"/>
      <c r="AK236" s="6"/>
      <c r="AL236" s="6"/>
      <c r="AM236" s="6"/>
      <c r="AN236" s="6"/>
      <c r="AO236" s="6"/>
      <c r="AP236" s="6"/>
      <c r="AQ236" s="6"/>
      <c r="AR236" s="6"/>
      <c r="AS236" s="6"/>
      <c r="AT236" s="6"/>
      <c r="AU236" s="6"/>
      <c r="AV236" s="7"/>
      <c r="AW236" s="7"/>
      <c r="AX236" s="7"/>
      <c r="AY236" s="7"/>
      <c r="BB236" s="6"/>
      <c r="BC236" s="8"/>
      <c r="BD236" s="6"/>
      <c r="BE236" s="6"/>
      <c r="BF236" s="6"/>
      <c r="BG236" s="8"/>
      <c r="BH236" s="6"/>
      <c r="BI236" s="6"/>
      <c r="BJ236" s="6"/>
      <c r="BK236" s="6"/>
      <c r="BL236" s="6"/>
      <c r="BM236" s="6"/>
      <c r="BN236" s="6"/>
      <c r="BO236" s="8"/>
      <c r="BP236" s="6"/>
      <c r="BQ236" s="6"/>
      <c r="BR236" s="6"/>
      <c r="BS236" s="9"/>
      <c r="BT236" s="8"/>
      <c r="BU236" s="6"/>
      <c r="BV236" s="6"/>
      <c r="BW236" s="6"/>
      <c r="BX236" s="8"/>
      <c r="BY236" s="6"/>
      <c r="CE236" s="7"/>
    </row>
    <row r="237" spans="1:83" ht="14" x14ac:dyDescent="0.3">
      <c r="A237" s="2">
        <f t="shared" si="4"/>
        <v>117.5</v>
      </c>
      <c r="B237" s="2">
        <v>665.10500000000002</v>
      </c>
      <c r="C237" s="2">
        <v>578.61099999999999</v>
      </c>
      <c r="D237" s="2">
        <v>523.85599999999999</v>
      </c>
      <c r="E237" s="2">
        <v>602.98400000000004</v>
      </c>
      <c r="F237" s="2">
        <f t="shared" si="17"/>
        <v>-1407.3609999999999</v>
      </c>
      <c r="G237">
        <f t="shared" si="30"/>
        <v>-2.3555000000001201</v>
      </c>
      <c r="H237" s="1">
        <v>765.59900000000005</v>
      </c>
      <c r="I237" s="1">
        <v>666.57799999999997</v>
      </c>
      <c r="J237" s="1">
        <v>978.947</v>
      </c>
      <c r="K237" s="1">
        <v>658.36800000000005</v>
      </c>
      <c r="L237" s="2">
        <f t="shared" si="31"/>
        <v>-1232.627</v>
      </c>
      <c r="M237">
        <f t="shared" si="32"/>
        <v>-4.1685000000002219</v>
      </c>
      <c r="N237" s="1">
        <v>1635.7170000000001</v>
      </c>
      <c r="O237" s="1">
        <v>798.11400000000003</v>
      </c>
      <c r="P237" s="1">
        <v>1102.4739999999999</v>
      </c>
      <c r="Q237" s="1">
        <v>565.721</v>
      </c>
      <c r="R237" s="2">
        <f t="shared" si="21"/>
        <v>-974.49350000000004</v>
      </c>
      <c r="S237">
        <f t="shared" si="33"/>
        <v>-7.9470000000001164</v>
      </c>
      <c r="T237" s="1">
        <v>1038.067</v>
      </c>
      <c r="U237" s="1">
        <v>628.77300000000002</v>
      </c>
      <c r="V237" s="1">
        <v>872.98599999999999</v>
      </c>
      <c r="W237" s="1">
        <v>706.45899999999995</v>
      </c>
      <c r="X237" s="2">
        <f t="shared" si="23"/>
        <v>-989.60374999999999</v>
      </c>
      <c r="Y237" s="6"/>
      <c r="Z237" s="7"/>
      <c r="AB237" s="6"/>
      <c r="AC237" s="8"/>
      <c r="AD237" s="2">
        <f t="shared" si="34"/>
        <v>-1.9545000000002801</v>
      </c>
      <c r="AE237" s="2"/>
      <c r="AF237" s="2"/>
      <c r="AG237" s="2"/>
      <c r="AH237" s="2"/>
      <c r="AI237" s="2"/>
      <c r="AJ237" s="6"/>
      <c r="AK237" s="6"/>
      <c r="AL237" s="6"/>
      <c r="AM237" s="6"/>
      <c r="AN237" s="6"/>
      <c r="AO237" s="9"/>
      <c r="AP237" s="6"/>
      <c r="AQ237" s="6"/>
      <c r="AR237" s="6"/>
      <c r="AS237" s="6"/>
      <c r="AT237" s="6"/>
      <c r="AU237" s="6"/>
      <c r="AV237" s="7"/>
      <c r="AW237" s="7"/>
      <c r="AX237" s="7"/>
      <c r="AY237" s="7"/>
      <c r="BB237" s="6"/>
      <c r="BC237" s="8"/>
      <c r="BD237" s="6"/>
      <c r="BE237" s="6"/>
      <c r="BF237" s="6"/>
      <c r="BG237" s="8"/>
      <c r="BH237" s="6"/>
      <c r="BI237" s="6"/>
      <c r="BJ237" s="6"/>
      <c r="BK237" s="6"/>
      <c r="BL237" s="6"/>
      <c r="BM237" s="6"/>
      <c r="BN237" s="6"/>
      <c r="BO237" s="8"/>
      <c r="BP237" s="6"/>
      <c r="BQ237" s="6"/>
      <c r="BR237" s="6"/>
      <c r="BS237" s="9"/>
      <c r="BT237" s="8"/>
      <c r="BU237" s="6"/>
      <c r="BV237" s="6"/>
      <c r="BW237" s="6"/>
      <c r="BX237" s="8"/>
      <c r="BY237" s="6"/>
      <c r="CE237" s="7"/>
    </row>
    <row r="238" spans="1:83" ht="14" x14ac:dyDescent="0.3">
      <c r="A238" s="2">
        <f t="shared" si="4"/>
        <v>118</v>
      </c>
      <c r="B238" s="2">
        <v>664.45899999999995</v>
      </c>
      <c r="C238" s="2">
        <v>577.80100000000004</v>
      </c>
      <c r="D238" s="2">
        <v>523.99099999999999</v>
      </c>
      <c r="E238" s="2">
        <v>601.53099999999995</v>
      </c>
      <c r="F238" s="2">
        <f t="shared" si="17"/>
        <v>-1408.0545</v>
      </c>
      <c r="G238">
        <f t="shared" si="30"/>
        <v>-0.31649999999990541</v>
      </c>
      <c r="H238" s="1">
        <v>765.471</v>
      </c>
      <c r="I238" s="1">
        <v>664.79</v>
      </c>
      <c r="J238" s="1">
        <v>976.505</v>
      </c>
      <c r="K238" s="1">
        <v>663.47199999999998</v>
      </c>
      <c r="L238" s="2">
        <f t="shared" si="31"/>
        <v>-1232.4404999999999</v>
      </c>
      <c r="M238">
        <f t="shared" si="32"/>
        <v>3.9529999999999745</v>
      </c>
      <c r="N238" s="1">
        <v>1630.941</v>
      </c>
      <c r="O238" s="1">
        <v>796.29600000000005</v>
      </c>
      <c r="P238" s="1">
        <v>1097.961</v>
      </c>
      <c r="Q238" s="1">
        <v>565.82500000000005</v>
      </c>
      <c r="R238" s="2">
        <f t="shared" si="21"/>
        <v>-977.24424999999997</v>
      </c>
      <c r="S238">
        <f t="shared" si="33"/>
        <v>-495.92900000000009</v>
      </c>
      <c r="T238" s="1">
        <v>1039.2139999999999</v>
      </c>
      <c r="U238" s="1">
        <v>629.11300000000006</v>
      </c>
      <c r="V238" s="1">
        <v>873.26700000000005</v>
      </c>
      <c r="W238" s="1">
        <v>706.05600000000004</v>
      </c>
      <c r="X238" s="2">
        <f t="shared" si="23"/>
        <v>-989.00649999999996</v>
      </c>
      <c r="Y238" s="6"/>
      <c r="Z238" s="7"/>
      <c r="AB238" s="6"/>
      <c r="AC238" s="8"/>
      <c r="AD238" s="2">
        <f t="shared" si="34"/>
        <v>-2.5114999999996144</v>
      </c>
      <c r="AE238" s="2"/>
      <c r="AF238" s="2"/>
      <c r="AG238" s="2"/>
      <c r="AH238" s="2"/>
      <c r="AI238" s="2"/>
      <c r="AJ238" s="6"/>
      <c r="AK238" s="6"/>
      <c r="AL238" s="6"/>
      <c r="AM238" s="6"/>
      <c r="AN238" s="6"/>
      <c r="AO238" s="6"/>
      <c r="AP238" s="6"/>
      <c r="AQ238" s="6"/>
      <c r="AR238" s="6"/>
      <c r="AS238" s="6"/>
      <c r="AT238" s="6"/>
      <c r="AU238" s="6"/>
      <c r="AV238" s="7"/>
      <c r="AW238" s="7"/>
      <c r="AX238" s="7"/>
      <c r="AY238" s="7"/>
      <c r="BB238" s="6"/>
      <c r="BC238" s="8"/>
      <c r="BD238" s="6"/>
      <c r="BE238" s="6"/>
      <c r="BF238" s="6"/>
      <c r="BG238" s="8"/>
      <c r="BH238" s="6"/>
      <c r="BI238" s="6"/>
      <c r="BJ238" s="6"/>
      <c r="BK238" s="6"/>
      <c r="BL238" s="6"/>
      <c r="BM238" s="6"/>
      <c r="BN238" s="6"/>
      <c r="BO238" s="8"/>
      <c r="BP238" s="6"/>
      <c r="BQ238" s="6"/>
      <c r="BR238" s="6"/>
      <c r="BS238" s="6"/>
      <c r="BT238" s="8"/>
      <c r="BU238" s="6"/>
      <c r="BV238" s="6"/>
      <c r="BW238" s="6"/>
      <c r="BX238" s="8"/>
      <c r="BY238" s="6"/>
      <c r="CE238" s="7"/>
    </row>
    <row r="239" spans="1:83" ht="14" x14ac:dyDescent="0.3">
      <c r="A239" s="2">
        <f t="shared" si="4"/>
        <v>118.5</v>
      </c>
      <c r="B239" s="2">
        <v>662.83699999999999</v>
      </c>
      <c r="C239" s="2">
        <v>575.93299999999999</v>
      </c>
      <c r="D239" s="2">
        <v>523.99099999999999</v>
      </c>
      <c r="E239" s="2">
        <v>600.30999999999995</v>
      </c>
      <c r="F239" s="2">
        <f t="shared" si="17"/>
        <v>-1409.23225</v>
      </c>
      <c r="G239">
        <f t="shared" si="30"/>
        <v>-0.35649999999986903</v>
      </c>
      <c r="H239" s="1">
        <v>763.95600000000002</v>
      </c>
      <c r="I239" s="2">
        <v>664.774</v>
      </c>
      <c r="J239" s="1">
        <v>976.3</v>
      </c>
      <c r="K239" s="1">
        <v>656.87099999999998</v>
      </c>
      <c r="L239" s="2">
        <f t="shared" si="31"/>
        <v>-1234.52475</v>
      </c>
      <c r="M239">
        <f t="shared" si="32"/>
        <v>-1.8204999999998108</v>
      </c>
      <c r="N239" s="1">
        <v>1624.278</v>
      </c>
      <c r="O239" s="1">
        <v>793.48500000000001</v>
      </c>
      <c r="P239" s="1">
        <v>1092.473</v>
      </c>
      <c r="Q239" s="1">
        <v>564.89300000000003</v>
      </c>
      <c r="R239" s="2">
        <f t="shared" si="21"/>
        <v>-981.21775000000002</v>
      </c>
      <c r="S239">
        <f t="shared" si="33"/>
        <v>484.94550000000027</v>
      </c>
      <c r="T239" s="1">
        <v>1039.8869999999999</v>
      </c>
      <c r="U239" s="1">
        <v>628.34199999999998</v>
      </c>
      <c r="V239" s="1">
        <v>871.74699999999996</v>
      </c>
      <c r="W239" s="1">
        <v>704.55600000000004</v>
      </c>
      <c r="X239" s="2">
        <f t="shared" si="23"/>
        <v>-989.9837500000001</v>
      </c>
      <c r="Y239" s="6"/>
      <c r="Z239" s="7"/>
      <c r="AB239" s="6"/>
      <c r="AC239" s="8"/>
      <c r="AD239" s="2">
        <f t="shared" si="34"/>
        <v>-1.1495000000002165</v>
      </c>
      <c r="AE239" s="2"/>
      <c r="AF239" s="2"/>
      <c r="AG239" s="2"/>
      <c r="AH239" s="2"/>
      <c r="AI239" s="2"/>
      <c r="AJ239" s="6"/>
      <c r="AK239" s="6"/>
      <c r="AL239" s="6"/>
      <c r="AM239" s="6"/>
      <c r="AN239" s="6"/>
      <c r="AO239" s="6"/>
      <c r="AP239" s="6"/>
      <c r="AQ239" s="6"/>
      <c r="AR239" s="6"/>
      <c r="AS239" s="6"/>
      <c r="AT239" s="6"/>
      <c r="AU239" s="6"/>
      <c r="AV239" s="7"/>
      <c r="AW239" s="7"/>
      <c r="AX239" s="7"/>
      <c r="AY239" s="7"/>
      <c r="BB239" s="6"/>
      <c r="BC239" s="8"/>
      <c r="BD239" s="6"/>
      <c r="BE239" s="6"/>
      <c r="BF239" s="6"/>
      <c r="BG239" s="8"/>
      <c r="BH239" s="6"/>
      <c r="BI239" s="6"/>
      <c r="BJ239" s="6"/>
      <c r="BK239" s="6"/>
      <c r="BL239" s="6"/>
      <c r="BM239" s="6"/>
      <c r="BN239" s="6"/>
      <c r="BO239" s="6"/>
      <c r="BP239" s="6"/>
      <c r="BQ239" s="6"/>
      <c r="BR239" s="6"/>
      <c r="BS239" s="6"/>
      <c r="BT239" s="8"/>
      <c r="BU239" s="6"/>
      <c r="BV239" s="6"/>
      <c r="BW239" s="6"/>
      <c r="BX239" s="8"/>
      <c r="BY239" s="6"/>
      <c r="CE239" s="7"/>
    </row>
    <row r="240" spans="1:83" ht="14" x14ac:dyDescent="0.3">
      <c r="A240" s="2">
        <f t="shared" si="4"/>
        <v>119</v>
      </c>
      <c r="B240" s="2">
        <v>662.76</v>
      </c>
      <c r="C240" s="2">
        <v>575.14800000000002</v>
      </c>
      <c r="D240" s="2">
        <v>523.89</v>
      </c>
      <c r="E240" s="2">
        <v>600.64</v>
      </c>
      <c r="F240" s="2">
        <f t="shared" si="17"/>
        <v>-1409.3905</v>
      </c>
      <c r="G240">
        <f t="shared" si="30"/>
        <v>-4.6950000000001637</v>
      </c>
      <c r="H240" s="1">
        <v>765.25300000000004</v>
      </c>
      <c r="I240" s="2">
        <v>664.91099999999994</v>
      </c>
      <c r="J240" s="1">
        <v>975.89800000000002</v>
      </c>
      <c r="K240" s="1">
        <v>663.745</v>
      </c>
      <c r="L240" s="2">
        <f t="shared" si="31"/>
        <v>-1232.5482500000001</v>
      </c>
      <c r="M240">
        <f t="shared" si="32"/>
        <v>-6.0760000000000218</v>
      </c>
      <c r="N240" s="1">
        <v>1618.5509999999999</v>
      </c>
      <c r="O240" s="1">
        <v>791.95899999999995</v>
      </c>
      <c r="P240" s="1">
        <v>109.24</v>
      </c>
      <c r="Q240" s="1">
        <v>563.52099999999996</v>
      </c>
      <c r="R240" s="2">
        <f t="shared" si="21"/>
        <v>-1229.1822500000001</v>
      </c>
      <c r="S240">
        <f t="shared" si="33"/>
        <v>-9.8955000000000837</v>
      </c>
      <c r="T240" s="1">
        <v>1038.376</v>
      </c>
      <c r="U240" s="1">
        <v>627.34500000000003</v>
      </c>
      <c r="V240" s="1">
        <v>870.98800000000006</v>
      </c>
      <c r="W240" s="1">
        <v>703.899</v>
      </c>
      <c r="X240" s="2">
        <f t="shared" si="23"/>
        <v>-991.23949999999991</v>
      </c>
      <c r="Y240" s="6"/>
      <c r="Z240" s="7"/>
      <c r="AB240" s="6"/>
      <c r="AC240" s="8"/>
      <c r="AD240" s="2">
        <f t="shared" si="34"/>
        <v>-5.8930000000002565</v>
      </c>
      <c r="AE240" s="2"/>
      <c r="AF240" s="2"/>
      <c r="AG240" s="2"/>
      <c r="AH240" s="2"/>
      <c r="AI240" s="2"/>
      <c r="AJ240" s="6"/>
      <c r="AK240" s="6"/>
      <c r="AL240" s="6"/>
      <c r="AM240" s="6"/>
      <c r="AN240" s="6"/>
      <c r="AO240" s="6"/>
      <c r="AP240" s="6"/>
      <c r="AQ240" s="6"/>
      <c r="AR240" s="6"/>
      <c r="AS240" s="6"/>
      <c r="AT240" s="6"/>
      <c r="AU240" s="6"/>
      <c r="AV240" s="7"/>
      <c r="AW240" s="7"/>
      <c r="AX240" s="7"/>
      <c r="AY240" s="7"/>
      <c r="BB240" s="6"/>
      <c r="BC240" s="8"/>
      <c r="BD240" s="6"/>
      <c r="BE240" s="6"/>
      <c r="BF240" s="6"/>
      <c r="BG240" s="8"/>
      <c r="BH240" s="6"/>
      <c r="BI240" s="6"/>
      <c r="BJ240" s="6"/>
      <c r="BK240" s="6"/>
      <c r="BL240" s="6"/>
      <c r="BM240" s="6"/>
      <c r="BN240" s="6"/>
      <c r="BO240" s="6"/>
      <c r="BP240" s="9"/>
      <c r="BQ240" s="6"/>
      <c r="BR240" s="9"/>
      <c r="BS240" s="6"/>
      <c r="BT240" s="12"/>
      <c r="BU240" s="6"/>
      <c r="BV240" s="6"/>
      <c r="BW240" s="9"/>
      <c r="BX240" s="8"/>
      <c r="BY240" s="6"/>
      <c r="CE240" s="7"/>
    </row>
    <row r="241" spans="1:83" ht="14" x14ac:dyDescent="0.3">
      <c r="A241" s="2">
        <f t="shared" si="4"/>
        <v>119.5</v>
      </c>
      <c r="B241" s="2">
        <v>663.005</v>
      </c>
      <c r="C241" s="2">
        <v>574.45399999999995</v>
      </c>
      <c r="D241" s="2">
        <v>524.24599999999998</v>
      </c>
      <c r="E241" s="2">
        <v>600.02</v>
      </c>
      <c r="F241" s="2">
        <f t="shared" si="17"/>
        <v>-1409.5687499999999</v>
      </c>
      <c r="G241">
        <f t="shared" si="30"/>
        <v>-2.0724999999997635</v>
      </c>
      <c r="H241" s="1">
        <v>763.56100000000004</v>
      </c>
      <c r="I241" s="2">
        <v>663.29</v>
      </c>
      <c r="J241" s="1">
        <v>973.87699999999995</v>
      </c>
      <c r="K241" s="1">
        <v>665.43799999999999</v>
      </c>
      <c r="L241" s="2">
        <f t="shared" si="31"/>
        <v>-1233.4585</v>
      </c>
      <c r="M241">
        <f t="shared" si="32"/>
        <v>-1.5900000000001455</v>
      </c>
      <c r="N241" s="1">
        <v>1610.7380000000001</v>
      </c>
      <c r="O241" s="1">
        <v>792.39300000000003</v>
      </c>
      <c r="P241" s="1">
        <v>1086.9000000000001</v>
      </c>
      <c r="Q241" s="1">
        <v>563.13099999999997</v>
      </c>
      <c r="R241" s="2">
        <f t="shared" si="21"/>
        <v>-986.70949999999993</v>
      </c>
      <c r="S241">
        <f t="shared" si="33"/>
        <v>-8.3734999999999218</v>
      </c>
      <c r="T241" s="1">
        <v>1037.529</v>
      </c>
      <c r="U241" s="1">
        <v>627.23400000000004</v>
      </c>
      <c r="V241" s="1">
        <v>870.37300000000005</v>
      </c>
      <c r="W241" s="1">
        <v>704.52300000000002</v>
      </c>
      <c r="X241" s="2">
        <f t="shared" si="23"/>
        <v>-991.81425000000002</v>
      </c>
      <c r="Y241" s="6"/>
      <c r="Z241" s="7"/>
      <c r="AB241" s="6"/>
      <c r="AC241" s="8"/>
      <c r="AD241" s="2">
        <f t="shared" si="34"/>
        <v>-4.3689999999996871</v>
      </c>
      <c r="AE241" s="2"/>
      <c r="AF241" s="3"/>
      <c r="AG241" s="2"/>
      <c r="AH241" s="2"/>
      <c r="AI241" s="2"/>
      <c r="AJ241" s="6"/>
      <c r="AK241" s="6"/>
      <c r="AL241" s="6"/>
      <c r="AM241" s="6"/>
      <c r="AN241" s="6"/>
      <c r="AO241" s="6"/>
      <c r="AP241" s="6"/>
      <c r="AQ241" s="6"/>
      <c r="AR241" s="6"/>
      <c r="AS241" s="6"/>
      <c r="AT241" s="6"/>
      <c r="AU241" s="6"/>
      <c r="AV241" s="7"/>
      <c r="AW241" s="7"/>
      <c r="AX241" s="7"/>
      <c r="AY241" s="7"/>
      <c r="BB241" s="6"/>
      <c r="BC241" s="8"/>
      <c r="BD241" s="6"/>
      <c r="BE241" s="6"/>
      <c r="BF241" s="6"/>
      <c r="BG241" s="8"/>
      <c r="BH241" s="6"/>
      <c r="BI241" s="6"/>
      <c r="BJ241" s="6"/>
      <c r="BK241" s="6"/>
      <c r="BL241" s="6"/>
      <c r="BM241" s="6"/>
      <c r="BN241" s="6"/>
      <c r="BO241" s="6"/>
      <c r="BP241" s="6"/>
      <c r="BQ241" s="6"/>
      <c r="BR241" s="6"/>
      <c r="BS241" s="6"/>
      <c r="BT241" s="8"/>
      <c r="BU241" s="6"/>
      <c r="BV241" s="6"/>
      <c r="BW241" s="6"/>
      <c r="BX241" s="8"/>
      <c r="BY241" s="6"/>
      <c r="CE241" s="7"/>
    </row>
    <row r="242" spans="1:83" ht="14" x14ac:dyDescent="0.3">
      <c r="A242" s="2">
        <f t="shared" si="4"/>
        <v>120</v>
      </c>
      <c r="B242" s="2">
        <v>661.15800000000002</v>
      </c>
      <c r="C242" s="2">
        <v>571.58799999999997</v>
      </c>
      <c r="D242" s="2">
        <v>522.89800000000002</v>
      </c>
      <c r="E242" s="2">
        <v>596.69100000000003</v>
      </c>
      <c r="F242" s="2">
        <f t="shared" si="17"/>
        <v>-1411.91625</v>
      </c>
      <c r="G242">
        <f t="shared" si="30"/>
        <v>-2.1935000000003129</v>
      </c>
      <c r="H242" s="1">
        <v>764.16700000000003</v>
      </c>
      <c r="I242" s="2">
        <v>662.11300000000006</v>
      </c>
      <c r="J242" s="1">
        <v>971.49099999999999</v>
      </c>
      <c r="K242" s="1">
        <v>656.24300000000005</v>
      </c>
      <c r="L242" s="2">
        <f t="shared" si="31"/>
        <v>-1236.4965</v>
      </c>
      <c r="M242">
        <f t="shared" si="32"/>
        <v>2.0554999999999382</v>
      </c>
      <c r="N242" s="1">
        <v>1602.634</v>
      </c>
      <c r="O242" s="1">
        <v>788.28200000000004</v>
      </c>
      <c r="P242" s="1">
        <v>1080.6859999999999</v>
      </c>
      <c r="Q242" s="1">
        <v>561.76900000000001</v>
      </c>
      <c r="R242" s="2">
        <f t="shared" si="21"/>
        <v>-991.65724999999998</v>
      </c>
      <c r="S242">
        <f t="shared" si="33"/>
        <v>-3.0425000000002456</v>
      </c>
      <c r="T242" s="1">
        <v>1033.0050000000001</v>
      </c>
      <c r="U242" s="1">
        <v>625.97699999999998</v>
      </c>
      <c r="V242" s="1">
        <v>867.99900000000002</v>
      </c>
      <c r="W242" s="1">
        <v>703.71100000000001</v>
      </c>
      <c r="X242" s="2">
        <f t="shared" si="23"/>
        <v>-994.76075000000014</v>
      </c>
      <c r="Y242" s="6"/>
      <c r="Z242" s="7"/>
      <c r="AB242" s="6"/>
      <c r="AC242" s="8"/>
      <c r="AD242" s="2">
        <f t="shared" si="34"/>
        <v>-0.93949999999995271</v>
      </c>
      <c r="AE242" s="2"/>
      <c r="AF242" s="2"/>
      <c r="AG242" s="2"/>
      <c r="AH242" s="2"/>
      <c r="AI242" s="2"/>
      <c r="AJ242" s="6"/>
      <c r="AK242" s="6"/>
      <c r="AL242" s="6"/>
      <c r="AM242" s="6"/>
      <c r="AN242" s="6"/>
      <c r="AO242" s="6"/>
      <c r="AP242" s="6"/>
      <c r="AQ242" s="6"/>
      <c r="AR242" s="6"/>
      <c r="AS242" s="6"/>
      <c r="AT242" s="6"/>
      <c r="AU242" s="6"/>
      <c r="AV242" s="7"/>
      <c r="AW242" s="7"/>
      <c r="AX242" s="7"/>
      <c r="AY242" s="7"/>
      <c r="BB242" s="6"/>
      <c r="BC242" s="8"/>
      <c r="BD242" s="6"/>
      <c r="BE242" s="8"/>
      <c r="BF242" s="6"/>
      <c r="BG242" s="8"/>
      <c r="BH242" s="6"/>
      <c r="BI242" s="6"/>
      <c r="BJ242" s="6"/>
      <c r="BK242" s="6"/>
      <c r="BL242" s="9"/>
      <c r="BM242" s="6"/>
      <c r="BN242" s="6"/>
      <c r="BO242" s="6"/>
      <c r="BP242" s="6"/>
      <c r="BQ242" s="6"/>
      <c r="BR242" s="6"/>
      <c r="BS242" s="6"/>
      <c r="BT242" s="8"/>
      <c r="BU242" s="6"/>
      <c r="BV242" s="6"/>
      <c r="BW242" s="6"/>
      <c r="BX242" s="8"/>
      <c r="BY242" s="6"/>
      <c r="CE242" s="7"/>
    </row>
    <row r="243" spans="1:83" ht="14" x14ac:dyDescent="0.3">
      <c r="A243" s="2">
        <f t="shared" si="4"/>
        <v>120.5</v>
      </c>
      <c r="B243" s="2">
        <v>659.84699999999998</v>
      </c>
      <c r="C243" s="2">
        <v>570.62300000000005</v>
      </c>
      <c r="D243" s="2">
        <v>522.24900000000002</v>
      </c>
      <c r="E243" s="2">
        <v>595.471</v>
      </c>
      <c r="F243" s="2">
        <f t="shared" si="17"/>
        <v>-1412.9524999999999</v>
      </c>
      <c r="G243">
        <f t="shared" si="30"/>
        <v>-1.4835000000002765</v>
      </c>
      <c r="H243" s="1">
        <v>763.01700000000005</v>
      </c>
      <c r="I243" s="2">
        <v>661.59900000000005</v>
      </c>
      <c r="J243" s="1">
        <v>970.2</v>
      </c>
      <c r="K243" s="1">
        <v>656.01800000000003</v>
      </c>
      <c r="L243" s="2">
        <f t="shared" si="31"/>
        <v>-1237.2915</v>
      </c>
      <c r="M243">
        <f t="shared" si="32"/>
        <v>-4.0929999999998472</v>
      </c>
      <c r="N243" s="1">
        <v>1594.8820000000001</v>
      </c>
      <c r="O243" s="1">
        <v>786.32299999999998</v>
      </c>
      <c r="P243" s="1">
        <v>1075.059</v>
      </c>
      <c r="Q243" s="1">
        <v>560.36</v>
      </c>
      <c r="R243" s="2">
        <f t="shared" si="21"/>
        <v>-995.84399999999994</v>
      </c>
      <c r="S243">
        <f t="shared" si="33"/>
        <v>-8.0424999999997908</v>
      </c>
      <c r="T243" s="1">
        <v>1029.857</v>
      </c>
      <c r="U243" s="1">
        <v>624.976</v>
      </c>
      <c r="V243" s="1">
        <v>866.20500000000004</v>
      </c>
      <c r="W243" s="10">
        <v>702.20500000000004</v>
      </c>
      <c r="X243" s="2">
        <f t="shared" si="23"/>
        <v>-996.94524999999999</v>
      </c>
      <c r="Y243" s="6"/>
      <c r="Z243" s="7"/>
      <c r="AB243" s="6"/>
      <c r="AC243" s="8"/>
      <c r="AD243" s="2">
        <f t="shared" si="34"/>
        <v>-5.5050000000001091</v>
      </c>
      <c r="AE243" s="2"/>
      <c r="AF243" s="2"/>
      <c r="AG243" s="2"/>
      <c r="AH243" s="2"/>
      <c r="AI243" s="2"/>
      <c r="AJ243" s="6"/>
      <c r="AK243" s="6"/>
      <c r="AL243" s="6"/>
      <c r="AM243" s="6"/>
      <c r="AN243" s="6"/>
      <c r="AO243" s="6"/>
      <c r="AP243" s="6"/>
      <c r="AQ243" s="6"/>
      <c r="AR243" s="6"/>
      <c r="AS243" s="6"/>
      <c r="AT243" s="6"/>
      <c r="AU243" s="6"/>
      <c r="AV243" s="7"/>
      <c r="AW243" s="7"/>
      <c r="AX243" s="7"/>
      <c r="AY243" s="7"/>
      <c r="BB243" s="6"/>
      <c r="BC243" s="8"/>
      <c r="BD243" s="6"/>
      <c r="BE243" s="8"/>
      <c r="BF243" s="6"/>
      <c r="BG243" s="8"/>
      <c r="BH243" s="6"/>
      <c r="BI243" s="6"/>
      <c r="BJ243" s="6"/>
      <c r="BK243" s="6"/>
      <c r="BL243" s="6"/>
      <c r="BM243" s="6"/>
      <c r="BN243" s="6"/>
      <c r="BO243" s="6"/>
      <c r="BP243" s="6"/>
      <c r="BQ243" s="6"/>
      <c r="BR243" s="6"/>
      <c r="BS243" s="8"/>
      <c r="BT243" s="8"/>
      <c r="BU243" s="6"/>
      <c r="BV243" s="6"/>
      <c r="BW243" s="6"/>
      <c r="BX243" s="8"/>
      <c r="BY243" s="6"/>
      <c r="CE243" s="7"/>
    </row>
    <row r="244" spans="1:83" ht="14" x14ac:dyDescent="0.3">
      <c r="A244" s="2">
        <f t="shared" si="4"/>
        <v>121</v>
      </c>
      <c r="B244" s="2">
        <v>658.35500000000002</v>
      </c>
      <c r="C244" s="2">
        <v>568.75400000000002</v>
      </c>
      <c r="D244" s="2">
        <v>521.69600000000003</v>
      </c>
      <c r="E244" s="2">
        <v>594.99800000000005</v>
      </c>
      <c r="F244" s="2">
        <f t="shared" si="17"/>
        <v>-1414.04925</v>
      </c>
      <c r="G244">
        <f t="shared" si="30"/>
        <v>-2.5849999999995816</v>
      </c>
      <c r="H244" s="1">
        <v>760.57799999999997</v>
      </c>
      <c r="I244" s="2">
        <v>660.6</v>
      </c>
      <c r="J244" s="1">
        <v>968.53800000000001</v>
      </c>
      <c r="K244" s="1">
        <v>665.22900000000004</v>
      </c>
      <c r="L244" s="2">
        <f t="shared" si="31"/>
        <v>-1236.2637500000001</v>
      </c>
      <c r="M244">
        <f t="shared" si="32"/>
        <v>-6.4260000000003856</v>
      </c>
      <c r="N244" s="1">
        <v>1592.7049999999999</v>
      </c>
      <c r="O244" s="1">
        <v>784.55399999999997</v>
      </c>
      <c r="P244" s="1">
        <v>1073.4369999999999</v>
      </c>
      <c r="Q244" s="1">
        <v>559.84299999999996</v>
      </c>
      <c r="R244" s="2">
        <f t="shared" si="21"/>
        <v>-997.36525000000006</v>
      </c>
      <c r="S244">
        <f t="shared" si="33"/>
        <v>-6.29950000000008</v>
      </c>
      <c r="T244" s="1">
        <v>1030.9480000000001</v>
      </c>
      <c r="U244" s="1">
        <v>624.048</v>
      </c>
      <c r="V244" s="1">
        <v>865.64800000000002</v>
      </c>
      <c r="W244" s="1">
        <v>700.83699999999999</v>
      </c>
      <c r="X244" s="2">
        <f t="shared" si="23"/>
        <v>-997.41499999999996</v>
      </c>
      <c r="Y244" s="6"/>
      <c r="Z244" s="7"/>
      <c r="AB244" s="6"/>
      <c r="AC244" s="8"/>
      <c r="AD244" s="2">
        <f t="shared" si="34"/>
        <v>-1.5225000000000364</v>
      </c>
      <c r="AE244" s="2"/>
      <c r="AF244" s="2"/>
      <c r="AG244" s="2"/>
      <c r="AH244" s="2"/>
      <c r="AI244" s="2"/>
      <c r="AJ244" s="6"/>
      <c r="AK244" s="6"/>
      <c r="AL244" s="8"/>
      <c r="AM244" s="6"/>
      <c r="AN244" s="6"/>
      <c r="AO244" s="6"/>
      <c r="AP244" s="6"/>
      <c r="AQ244" s="6"/>
      <c r="AR244" s="6"/>
      <c r="AS244" s="6"/>
      <c r="AT244" s="6"/>
      <c r="AU244" s="9"/>
      <c r="AV244" s="11"/>
      <c r="AW244" s="7"/>
      <c r="AX244" s="7"/>
      <c r="AY244" s="7"/>
      <c r="BB244" s="6"/>
      <c r="BC244" s="8"/>
      <c r="BD244" s="6"/>
      <c r="BE244" s="8"/>
      <c r="BF244" s="6"/>
      <c r="BG244" s="8"/>
      <c r="BH244" s="6"/>
      <c r="BI244" s="6"/>
      <c r="BJ244" s="6"/>
      <c r="BK244" s="6"/>
      <c r="BL244" s="6"/>
      <c r="BM244" s="6"/>
      <c r="BN244" s="6"/>
      <c r="BO244" s="6"/>
      <c r="BP244" s="6"/>
      <c r="BQ244" s="6"/>
      <c r="BR244" s="6"/>
      <c r="BS244" s="8"/>
      <c r="BT244" s="8"/>
      <c r="BU244" s="6"/>
      <c r="BV244" s="6"/>
      <c r="BW244" s="6"/>
      <c r="BX244" s="8"/>
      <c r="BY244" s="6"/>
      <c r="CE244" s="7"/>
    </row>
    <row r="245" spans="1:83" ht="14" x14ac:dyDescent="0.3">
      <c r="A245" s="2">
        <f t="shared" si="4"/>
        <v>121.5</v>
      </c>
      <c r="B245" s="2">
        <v>657.89</v>
      </c>
      <c r="C245" s="2">
        <v>568.34199999999998</v>
      </c>
      <c r="D245" s="2">
        <v>521.33900000000006</v>
      </c>
      <c r="E245" s="2">
        <v>593.26499999999999</v>
      </c>
      <c r="F245" s="2">
        <f t="shared" si="17"/>
        <v>-1414.7910000000002</v>
      </c>
      <c r="G245">
        <f t="shared" si="30"/>
        <v>-1.49350000000004</v>
      </c>
      <c r="H245" s="1">
        <v>759.34400000000005</v>
      </c>
      <c r="I245" s="2">
        <v>660.32399999999996</v>
      </c>
      <c r="J245" s="1">
        <v>966.38800000000003</v>
      </c>
      <c r="K245" s="1">
        <v>660.70299999999997</v>
      </c>
      <c r="L245" s="2">
        <f t="shared" si="31"/>
        <v>-1238.31025</v>
      </c>
      <c r="M245">
        <f t="shared" si="32"/>
        <v>0.58400000000074215</v>
      </c>
      <c r="N245" s="1">
        <v>1585.423</v>
      </c>
      <c r="O245" s="1">
        <v>781.95899999999995</v>
      </c>
      <c r="P245" s="1">
        <v>1067.896</v>
      </c>
      <c r="Q245" s="1">
        <v>559.17600000000004</v>
      </c>
      <c r="R245" s="2">
        <f t="shared" si="21"/>
        <v>-1001.3865</v>
      </c>
      <c r="S245">
        <f t="shared" si="33"/>
        <v>-8.1704999999999472</v>
      </c>
      <c r="T245" s="1">
        <v>1027.1880000000001</v>
      </c>
      <c r="U245" s="1">
        <v>622.81600000000003</v>
      </c>
      <c r="V245" s="1">
        <v>863.255</v>
      </c>
      <c r="W245" s="1">
        <v>697.73500000000001</v>
      </c>
      <c r="X245" s="2">
        <f t="shared" si="23"/>
        <v>-1000.1675</v>
      </c>
      <c r="Y245" s="6"/>
      <c r="Z245" s="7"/>
      <c r="AB245" s="6"/>
      <c r="AC245" s="8"/>
      <c r="AD245" s="2">
        <f t="shared" si="34"/>
        <v>-1.5774999999996453</v>
      </c>
      <c r="AE245" s="2"/>
      <c r="AF245" s="2"/>
      <c r="AG245" s="2"/>
      <c r="AH245" s="2"/>
      <c r="AI245" s="2"/>
      <c r="AJ245" s="6"/>
      <c r="AK245" s="6"/>
      <c r="AL245" s="8"/>
      <c r="AM245" s="6"/>
      <c r="AN245" s="6"/>
      <c r="AO245" s="6"/>
      <c r="AP245" s="6"/>
      <c r="AQ245" s="6"/>
      <c r="AR245" s="6"/>
      <c r="AS245" s="6"/>
      <c r="AT245" s="6"/>
      <c r="AU245" s="6"/>
      <c r="AV245" s="7"/>
      <c r="AW245" s="7"/>
      <c r="AX245" s="7"/>
      <c r="AY245" s="7"/>
      <c r="BB245" s="6"/>
      <c r="BC245" s="6"/>
      <c r="BD245" s="6"/>
      <c r="BE245" s="8"/>
      <c r="BF245" s="6"/>
      <c r="BG245" s="6"/>
      <c r="BH245" s="6"/>
      <c r="BI245" s="6"/>
      <c r="BJ245" s="6"/>
      <c r="BK245" s="6"/>
      <c r="BL245" s="6"/>
      <c r="BM245" s="6"/>
      <c r="BN245" s="6"/>
      <c r="BO245" s="6"/>
      <c r="BP245" s="6"/>
      <c r="BQ245" s="6"/>
      <c r="BR245" s="6"/>
      <c r="BS245" s="8"/>
      <c r="BT245" s="8"/>
      <c r="BU245" s="6"/>
      <c r="BV245" s="6"/>
      <c r="BW245" s="6"/>
      <c r="BX245" s="8"/>
      <c r="BY245" s="6"/>
      <c r="CE245" s="7"/>
    </row>
    <row r="246" spans="1:83" ht="14" x14ac:dyDescent="0.3">
      <c r="A246" s="2">
        <f t="shared" si="4"/>
        <v>122</v>
      </c>
      <c r="B246" s="2">
        <v>656.10400000000004</v>
      </c>
      <c r="C246" s="2">
        <v>566.83900000000006</v>
      </c>
      <c r="D246" s="2">
        <v>521.01</v>
      </c>
      <c r="E246" s="2">
        <v>591.71299999999997</v>
      </c>
      <c r="F246" s="2">
        <f t="shared" si="17"/>
        <v>-1416.0835</v>
      </c>
      <c r="G246">
        <f t="shared" si="30"/>
        <v>-3.2750000000000909</v>
      </c>
      <c r="H246" s="1">
        <v>758.14099999999996</v>
      </c>
      <c r="I246" s="2">
        <v>658.31600000000003</v>
      </c>
      <c r="J246" s="1">
        <v>964.96100000000001</v>
      </c>
      <c r="K246" s="1">
        <v>652.48900000000003</v>
      </c>
      <c r="L246" s="2">
        <f t="shared" si="31"/>
        <v>-1241.5232500000002</v>
      </c>
      <c r="M246">
        <f t="shared" si="32"/>
        <v>-5.5640000000003056</v>
      </c>
      <c r="N246" s="1">
        <v>1582.242</v>
      </c>
      <c r="O246" s="1">
        <v>778.88</v>
      </c>
      <c r="P246" s="1">
        <v>1062.5440000000001</v>
      </c>
      <c r="Q246" s="1">
        <v>558.18899999999996</v>
      </c>
      <c r="R246" s="2">
        <f t="shared" si="21"/>
        <v>-1004.53625</v>
      </c>
      <c r="S246">
        <f t="shared" si="33"/>
        <v>-9.3255000000001473</v>
      </c>
      <c r="T246" s="1">
        <v>1024.903</v>
      </c>
      <c r="U246" s="10">
        <v>623.03599999999994</v>
      </c>
      <c r="V246" s="1">
        <v>862.65499999999997</v>
      </c>
      <c r="W246" s="1">
        <v>696.822</v>
      </c>
      <c r="X246" s="2">
        <f t="shared" si="23"/>
        <v>-1000.92875</v>
      </c>
      <c r="Y246" s="6"/>
      <c r="Z246" s="7"/>
      <c r="AB246" s="6"/>
      <c r="AC246" s="8"/>
      <c r="AD246" s="2">
        <f t="shared" si="34"/>
        <v>-5.1175000000005184</v>
      </c>
      <c r="AE246" s="2"/>
      <c r="AF246" s="2"/>
      <c r="AG246" s="2"/>
      <c r="AH246" s="2"/>
      <c r="AI246" s="2"/>
      <c r="AJ246" s="6"/>
      <c r="AK246" s="6"/>
      <c r="AL246" s="8"/>
      <c r="AM246" s="6"/>
      <c r="AN246" s="6"/>
      <c r="AO246" s="6"/>
      <c r="AP246" s="6"/>
      <c r="AQ246" s="6"/>
      <c r="AR246" s="6"/>
      <c r="AS246" s="6"/>
      <c r="AT246" s="6"/>
      <c r="AU246" s="6"/>
      <c r="AV246" s="7"/>
      <c r="AW246" s="7"/>
      <c r="AX246" s="7"/>
      <c r="AY246" s="7"/>
      <c r="BB246" s="6"/>
      <c r="BC246" s="6"/>
      <c r="BD246" s="6"/>
      <c r="BE246" s="8"/>
      <c r="BF246" s="6"/>
      <c r="BG246" s="6"/>
      <c r="BH246" s="6"/>
      <c r="BI246" s="6"/>
      <c r="BJ246" s="6"/>
      <c r="BK246" s="6"/>
      <c r="BL246" s="9"/>
      <c r="BM246" s="6"/>
      <c r="BN246" s="6"/>
      <c r="BO246" s="6"/>
      <c r="BP246" s="6"/>
      <c r="BQ246" s="6"/>
      <c r="BR246" s="6"/>
      <c r="BS246" s="8"/>
      <c r="BT246" s="8"/>
      <c r="BU246" s="6"/>
      <c r="BV246" s="6"/>
      <c r="BW246" s="6"/>
      <c r="BX246" s="8"/>
      <c r="BY246" s="6"/>
      <c r="CE246" s="7"/>
    </row>
    <row r="247" spans="1:83" ht="14" x14ac:dyDescent="0.3">
      <c r="A247" s="2">
        <f t="shared" si="4"/>
        <v>122.5</v>
      </c>
      <c r="B247" s="2">
        <v>656.18499999999995</v>
      </c>
      <c r="C247" s="2">
        <v>566.41700000000003</v>
      </c>
      <c r="D247" s="2">
        <v>520.36300000000006</v>
      </c>
      <c r="E247" s="2">
        <v>589.71400000000006</v>
      </c>
      <c r="F247" s="2">
        <f t="shared" si="17"/>
        <v>-1416.83025</v>
      </c>
      <c r="G247">
        <f t="shared" si="30"/>
        <v>-3.6914999999999054</v>
      </c>
      <c r="H247" s="1">
        <v>759.58799999999997</v>
      </c>
      <c r="I247" s="2">
        <v>658.274</v>
      </c>
      <c r="J247" s="1">
        <v>963.71900000000005</v>
      </c>
      <c r="K247" s="1">
        <v>653.49400000000003</v>
      </c>
      <c r="L247" s="2">
        <f t="shared" si="31"/>
        <v>-1241.2312499999998</v>
      </c>
      <c r="M247">
        <f t="shared" si="32"/>
        <v>-2.7714999999998327</v>
      </c>
      <c r="N247" s="1">
        <v>1574.68</v>
      </c>
      <c r="O247" s="1">
        <v>775.11099999999999</v>
      </c>
      <c r="P247" s="1">
        <v>1058.5229999999999</v>
      </c>
      <c r="Q247" s="1">
        <v>557.20000000000005</v>
      </c>
      <c r="R247" s="2">
        <f t="shared" si="21"/>
        <v>-1008.6215</v>
      </c>
      <c r="S247">
        <f t="shared" si="33"/>
        <v>-6.5075000000001637</v>
      </c>
      <c r="T247" s="1">
        <v>1024.702</v>
      </c>
      <c r="U247" s="1">
        <v>622.59500000000003</v>
      </c>
      <c r="V247" s="1">
        <v>861.61900000000003</v>
      </c>
      <c r="W247" s="1">
        <v>697.55200000000002</v>
      </c>
      <c r="X247" s="2">
        <f t="shared" si="23"/>
        <v>-1001.7174999999999</v>
      </c>
      <c r="Y247" s="6"/>
      <c r="Z247" s="7"/>
      <c r="AB247" s="6"/>
      <c r="AC247" s="8"/>
      <c r="AD247" s="2">
        <f t="shared" si="34"/>
        <v>-5.8479999999999563</v>
      </c>
      <c r="AE247" s="2"/>
      <c r="AF247" s="3"/>
      <c r="AG247" s="2"/>
      <c r="AH247" s="2"/>
      <c r="AI247" s="2"/>
      <c r="AJ247" s="6"/>
      <c r="AK247" s="6"/>
      <c r="AL247" s="8"/>
      <c r="AM247" s="6"/>
      <c r="AN247" s="6"/>
      <c r="AO247" s="6"/>
      <c r="AP247" s="6"/>
      <c r="AQ247" s="6"/>
      <c r="AR247" s="6"/>
      <c r="AS247" s="6"/>
      <c r="AT247" s="6"/>
      <c r="AU247" s="6"/>
      <c r="AV247" s="7"/>
      <c r="AW247" s="7"/>
      <c r="AX247" s="7"/>
      <c r="AY247" s="7"/>
      <c r="BB247" s="6"/>
      <c r="BC247" s="6"/>
      <c r="BD247" s="6"/>
      <c r="BE247" s="8"/>
      <c r="BF247" s="6"/>
      <c r="BG247" s="6"/>
      <c r="BH247" s="6"/>
      <c r="BI247" s="6"/>
      <c r="BJ247" s="6"/>
      <c r="BK247" s="6"/>
      <c r="BL247" s="6"/>
      <c r="BM247" s="6"/>
      <c r="BN247" s="6"/>
      <c r="BO247" s="6"/>
      <c r="BP247" s="6"/>
      <c r="BQ247" s="6"/>
      <c r="BR247" s="12"/>
      <c r="BS247" s="8"/>
      <c r="BT247" s="8"/>
      <c r="BU247" s="6"/>
      <c r="BV247" s="6"/>
      <c r="BW247" s="6"/>
      <c r="BX247" s="8"/>
      <c r="BY247" s="6"/>
      <c r="CE247" s="7"/>
    </row>
    <row r="248" spans="1:83" ht="14" x14ac:dyDescent="0.3">
      <c r="A248" s="2">
        <f t="shared" si="4"/>
        <v>123</v>
      </c>
      <c r="B248" s="2">
        <v>655.25599999999997</v>
      </c>
      <c r="C248" s="2">
        <v>563.47699999999998</v>
      </c>
      <c r="D248" s="2">
        <v>519.35299999999995</v>
      </c>
      <c r="E248" s="2">
        <v>588.04300000000001</v>
      </c>
      <c r="F248" s="2">
        <f t="shared" si="17"/>
        <v>-1418.46775</v>
      </c>
      <c r="G248">
        <f t="shared" si="30"/>
        <v>0.32299999999986539</v>
      </c>
      <c r="H248" s="1">
        <v>756.32899999999995</v>
      </c>
      <c r="I248" s="1">
        <v>655.51900000000001</v>
      </c>
      <c r="J248" s="1">
        <v>959.66</v>
      </c>
      <c r="K248" s="1">
        <v>652.43899999999996</v>
      </c>
      <c r="L248" s="2">
        <f t="shared" si="31"/>
        <v>-1244.01325</v>
      </c>
      <c r="M248">
        <f t="shared" si="32"/>
        <v>-2.7609999999999673</v>
      </c>
      <c r="N248" s="1">
        <v>1566.4949999999999</v>
      </c>
      <c r="O248" s="1">
        <v>772.11300000000006</v>
      </c>
      <c r="P248" s="1">
        <v>1052.066</v>
      </c>
      <c r="Q248" s="1">
        <v>556.18899999999996</v>
      </c>
      <c r="R248" s="2">
        <f t="shared" si="21"/>
        <v>-1013.28425</v>
      </c>
      <c r="S248">
        <f t="shared" si="33"/>
        <v>-7.0939999999995962</v>
      </c>
      <c r="T248" s="1">
        <v>1021.437</v>
      </c>
      <c r="U248" s="1">
        <v>621.31899999999996</v>
      </c>
      <c r="V248" s="1">
        <v>859.41</v>
      </c>
      <c r="W248" s="1">
        <v>695.20399999999995</v>
      </c>
      <c r="X248" s="2">
        <f t="shared" si="23"/>
        <v>-1004.2762500000001</v>
      </c>
      <c r="Y248" s="6"/>
      <c r="Z248" s="7"/>
      <c r="AB248" s="6"/>
      <c r="AC248" s="8"/>
      <c r="AD248" s="2">
        <f t="shared" si="34"/>
        <v>-2.419999999999618</v>
      </c>
      <c r="AE248" s="2"/>
      <c r="AF248" s="2"/>
      <c r="AG248" s="2"/>
      <c r="AH248" s="2"/>
      <c r="AI248" s="2"/>
      <c r="AJ248" s="6"/>
      <c r="AK248" s="6"/>
      <c r="AL248" s="8"/>
      <c r="AM248" s="6"/>
      <c r="AN248" s="6"/>
      <c r="AO248" s="9"/>
      <c r="AP248" s="6"/>
      <c r="AQ248" s="6"/>
      <c r="AR248" s="6"/>
      <c r="AS248" s="6"/>
      <c r="AT248" s="6"/>
      <c r="AU248" s="6"/>
      <c r="AV248" s="7"/>
      <c r="AW248" s="7"/>
      <c r="AX248" s="7"/>
      <c r="AY248" s="7"/>
      <c r="BB248" s="6"/>
      <c r="BC248" s="6"/>
      <c r="BD248" s="6"/>
      <c r="BE248" s="8"/>
      <c r="BF248" s="6"/>
      <c r="BG248" s="6"/>
      <c r="BH248" s="6"/>
      <c r="BI248" s="6"/>
      <c r="BJ248" s="6"/>
      <c r="BK248" s="6"/>
      <c r="BL248" s="6"/>
      <c r="BM248" s="6"/>
      <c r="BN248" s="6"/>
      <c r="BO248" s="6"/>
      <c r="BP248" s="6"/>
      <c r="BQ248" s="6"/>
      <c r="BR248" s="8"/>
      <c r="BS248" s="8"/>
      <c r="BT248" s="8"/>
      <c r="BU248" s="6"/>
      <c r="BV248" s="6"/>
      <c r="BW248" s="6"/>
      <c r="BX248" s="8"/>
      <c r="BY248" s="6"/>
      <c r="CE248" s="7"/>
    </row>
    <row r="249" spans="1:83" ht="14" x14ac:dyDescent="0.3">
      <c r="A249" s="2">
        <f t="shared" si="4"/>
        <v>123.5</v>
      </c>
      <c r="B249" s="2">
        <v>655.97799999999995</v>
      </c>
      <c r="C249" s="2">
        <v>562.77800000000002</v>
      </c>
      <c r="D249" s="2">
        <v>512.84900000000005</v>
      </c>
      <c r="E249" s="2">
        <v>587.14099999999996</v>
      </c>
      <c r="F249" s="2">
        <f t="shared" si="17"/>
        <v>-1420.3135</v>
      </c>
      <c r="G249">
        <f t="shared" si="30"/>
        <v>-2.2709999999997308</v>
      </c>
      <c r="H249" s="1">
        <v>752.44899999999996</v>
      </c>
      <c r="I249" s="1">
        <v>652.78800000000001</v>
      </c>
      <c r="J249" s="1">
        <v>956.94299999999998</v>
      </c>
      <c r="K249" s="1">
        <v>656.22400000000005</v>
      </c>
      <c r="L249" s="2">
        <f t="shared" si="31"/>
        <v>-1245.3989999999999</v>
      </c>
      <c r="M249">
        <f t="shared" si="32"/>
        <v>-1.7119999999999891</v>
      </c>
      <c r="N249" s="1">
        <v>1560.771</v>
      </c>
      <c r="O249" s="1">
        <v>770.28099999999995</v>
      </c>
      <c r="P249" s="1">
        <v>1048.665</v>
      </c>
      <c r="Q249" s="1">
        <v>554.13099999999997</v>
      </c>
      <c r="R249" s="2">
        <f t="shared" si="21"/>
        <v>-1016.5380000000001</v>
      </c>
      <c r="S249">
        <f t="shared" si="33"/>
        <v>-3.8640000000000327</v>
      </c>
      <c r="T249" s="1">
        <v>1018.4589999999999</v>
      </c>
      <c r="U249" s="1">
        <v>619.09799999999996</v>
      </c>
      <c r="V249" s="1">
        <v>857.27200000000005</v>
      </c>
      <c r="W249" s="1">
        <v>694.67700000000002</v>
      </c>
      <c r="X249" s="2">
        <f t="shared" si="23"/>
        <v>-1007.2002500000001</v>
      </c>
      <c r="Y249" s="6"/>
      <c r="Z249" s="7"/>
      <c r="AB249" s="6"/>
      <c r="AC249" s="8"/>
      <c r="AD249" s="2">
        <f t="shared" si="34"/>
        <v>1.231499999999869</v>
      </c>
      <c r="AE249" s="2"/>
      <c r="AF249" s="2"/>
      <c r="AG249" s="2"/>
      <c r="AH249" s="2"/>
      <c r="AI249" s="2"/>
      <c r="AJ249" s="6"/>
      <c r="AK249" s="6"/>
      <c r="AL249" s="8"/>
      <c r="AM249" s="6"/>
      <c r="AN249" s="6"/>
      <c r="AO249" s="6"/>
      <c r="AP249" s="6"/>
      <c r="AQ249" s="6"/>
      <c r="AR249" s="6"/>
      <c r="AS249" s="6"/>
      <c r="AT249" s="6"/>
      <c r="AU249" s="6"/>
      <c r="AV249" s="7"/>
      <c r="AW249" s="7"/>
      <c r="AX249" s="7"/>
      <c r="AY249" s="7"/>
      <c r="BB249" s="6"/>
      <c r="BC249" s="6"/>
      <c r="BD249" s="6"/>
      <c r="BE249" s="8"/>
      <c r="BF249" s="6"/>
      <c r="BG249" s="6"/>
      <c r="BH249" s="6"/>
      <c r="BI249" s="8"/>
      <c r="BJ249" s="6"/>
      <c r="BK249" s="6"/>
      <c r="BL249" s="6"/>
      <c r="BM249" s="6"/>
      <c r="BN249" s="6"/>
      <c r="BO249" s="6"/>
      <c r="BP249" s="6"/>
      <c r="BQ249" s="6"/>
      <c r="BR249" s="8"/>
      <c r="BS249" s="8"/>
      <c r="BT249" s="8"/>
      <c r="BU249" s="6"/>
      <c r="BV249" s="6"/>
      <c r="BW249" s="6"/>
      <c r="BX249" s="8"/>
      <c r="BY249" s="6"/>
      <c r="CE249" s="7"/>
    </row>
    <row r="250" spans="1:83" ht="14" x14ac:dyDescent="0.3">
      <c r="A250" s="2">
        <f t="shared" si="4"/>
        <v>124</v>
      </c>
      <c r="B250" s="2">
        <v>653.56399999999996</v>
      </c>
      <c r="C250" s="2">
        <v>562.21199999999999</v>
      </c>
      <c r="D250" s="2">
        <v>517.12300000000005</v>
      </c>
      <c r="E250" s="2">
        <v>586.49300000000005</v>
      </c>
      <c r="F250" s="2">
        <f t="shared" si="17"/>
        <v>-1420.152</v>
      </c>
      <c r="G250">
        <f t="shared" si="30"/>
        <v>0.26499999999987267</v>
      </c>
      <c r="H250" s="1">
        <v>753.19899999999996</v>
      </c>
      <c r="I250" s="1">
        <v>653.60699999999997</v>
      </c>
      <c r="J250" s="1">
        <v>956.94100000000003</v>
      </c>
      <c r="K250" s="1">
        <v>649.13499999999999</v>
      </c>
      <c r="L250" s="2">
        <f t="shared" si="31"/>
        <v>-1246.7794999999999</v>
      </c>
      <c r="M250">
        <f t="shared" si="32"/>
        <v>4.669999999999618</v>
      </c>
      <c r="N250" s="1">
        <v>1554.662</v>
      </c>
      <c r="O250" s="1">
        <v>767.95899999999995</v>
      </c>
      <c r="P250" s="1">
        <v>1043.211</v>
      </c>
      <c r="Q250" s="1">
        <v>553.82799999999997</v>
      </c>
      <c r="R250" s="2">
        <f t="shared" si="21"/>
        <v>-1020.0849999999999</v>
      </c>
      <c r="S250">
        <f t="shared" si="33"/>
        <v>-6.9315000000003693</v>
      </c>
      <c r="T250" s="1">
        <v>1017.223</v>
      </c>
      <c r="U250" s="1">
        <v>618.74400000000003</v>
      </c>
      <c r="V250" s="1">
        <v>855.82399999999996</v>
      </c>
      <c r="W250" s="1">
        <v>692.43700000000001</v>
      </c>
      <c r="X250" s="2">
        <f t="shared" si="23"/>
        <v>-1008.4102499999999</v>
      </c>
      <c r="Y250" s="6"/>
      <c r="Z250" s="7"/>
      <c r="AB250" s="6"/>
      <c r="AC250" s="8"/>
      <c r="AD250" s="2">
        <f t="shared" si="34"/>
        <v>-4.2329999999997199</v>
      </c>
      <c r="AE250" s="3"/>
      <c r="AF250" s="2"/>
      <c r="AG250" s="2"/>
      <c r="AH250" s="2"/>
      <c r="AI250" s="2"/>
      <c r="AJ250" s="6"/>
      <c r="AK250" s="6"/>
      <c r="AL250" s="8"/>
      <c r="AM250" s="6"/>
      <c r="AN250" s="6"/>
      <c r="AO250" s="6"/>
      <c r="AP250" s="6"/>
      <c r="AQ250" s="6"/>
      <c r="AR250" s="6"/>
      <c r="AS250" s="6"/>
      <c r="AT250" s="6"/>
      <c r="AU250" s="6"/>
      <c r="AV250" s="7"/>
      <c r="AW250" s="7"/>
      <c r="AX250" s="7"/>
      <c r="AY250" s="7"/>
      <c r="BB250" s="6"/>
      <c r="BC250" s="6"/>
      <c r="BD250" s="6"/>
      <c r="BE250" s="6"/>
      <c r="BF250" s="6"/>
      <c r="BG250" s="6"/>
      <c r="BH250" s="6"/>
      <c r="BI250" s="8"/>
      <c r="BJ250" s="6"/>
      <c r="BK250" s="6"/>
      <c r="BL250" s="6"/>
      <c r="BM250" s="6"/>
      <c r="BN250" s="6"/>
      <c r="BO250" s="6"/>
      <c r="BP250" s="6"/>
      <c r="BQ250" s="6"/>
      <c r="BR250" s="8"/>
      <c r="BS250" s="8"/>
      <c r="BT250" s="8"/>
      <c r="BU250" s="6"/>
      <c r="BV250" s="6"/>
      <c r="BW250" s="6"/>
      <c r="BX250" s="8"/>
      <c r="BY250" s="6"/>
      <c r="CE250" s="7"/>
    </row>
    <row r="251" spans="1:83" ht="14" x14ac:dyDescent="0.3">
      <c r="A251" s="2">
        <f t="shared" si="4"/>
        <v>124.5</v>
      </c>
      <c r="B251" s="2">
        <v>652.63699999999994</v>
      </c>
      <c r="C251" s="2">
        <v>560.04600000000005</v>
      </c>
      <c r="D251" s="2">
        <v>517.29999999999995</v>
      </c>
      <c r="E251" s="2">
        <v>584.86699999999996</v>
      </c>
      <c r="F251" s="2">
        <f t="shared" si="17"/>
        <v>-1421.2874999999999</v>
      </c>
      <c r="G251">
        <f t="shared" si="30"/>
        <v>-1.8695000000002437</v>
      </c>
      <c r="H251" s="1">
        <v>752.47699999999998</v>
      </c>
      <c r="I251" s="1">
        <v>653.31500000000005</v>
      </c>
      <c r="J251" s="1">
        <v>955.44100000000003</v>
      </c>
      <c r="K251" s="1">
        <v>648.22500000000002</v>
      </c>
      <c r="L251" s="2">
        <f t="shared" si="31"/>
        <v>-1247.6354999999999</v>
      </c>
      <c r="M251">
        <f t="shared" si="32"/>
        <v>-2.6455000000000837</v>
      </c>
      <c r="N251" s="1">
        <v>1549.7460000000001</v>
      </c>
      <c r="O251" s="1">
        <v>767.04600000000005</v>
      </c>
      <c r="P251" s="1">
        <v>1040.1089999999999</v>
      </c>
      <c r="Q251" s="1">
        <v>555.03099999999995</v>
      </c>
      <c r="R251" s="2">
        <f t="shared" si="21"/>
        <v>-1022.0169999999999</v>
      </c>
      <c r="S251">
        <f t="shared" si="33"/>
        <v>-6.2894999999998618</v>
      </c>
      <c r="T251" s="1">
        <v>1019.592</v>
      </c>
      <c r="U251" s="1">
        <v>619.15</v>
      </c>
      <c r="V251" s="1">
        <v>855.46500000000003</v>
      </c>
      <c r="W251" s="1">
        <v>692.58</v>
      </c>
      <c r="X251" s="2">
        <f t="shared" si="23"/>
        <v>-1007.7945</v>
      </c>
      <c r="Y251" s="6"/>
      <c r="Z251" s="7"/>
      <c r="AB251" s="6"/>
      <c r="AC251" s="8"/>
      <c r="AD251" s="2">
        <f t="shared" si="34"/>
        <v>-2.7625000000005002</v>
      </c>
      <c r="AE251" s="2"/>
      <c r="AF251" s="2"/>
      <c r="AG251" s="2"/>
      <c r="AH251" s="2"/>
      <c r="AI251" s="2"/>
      <c r="AJ251" s="6"/>
      <c r="AK251" s="6"/>
      <c r="AL251" s="6"/>
      <c r="AM251" s="6"/>
      <c r="AN251" s="6"/>
      <c r="AO251" s="6"/>
      <c r="AP251" s="6"/>
      <c r="AQ251" s="6"/>
      <c r="AR251" s="6"/>
      <c r="AS251" s="6"/>
      <c r="AT251" s="6"/>
      <c r="AU251" s="6"/>
      <c r="AV251" s="7"/>
      <c r="AW251" s="7"/>
      <c r="AX251" s="7"/>
      <c r="AY251" s="7"/>
      <c r="BB251" s="6"/>
      <c r="BC251" s="6"/>
      <c r="BD251" s="6"/>
      <c r="BE251" s="6"/>
      <c r="BF251" s="6"/>
      <c r="BG251" s="6"/>
      <c r="BH251" s="6"/>
      <c r="BI251" s="6"/>
      <c r="BJ251" s="6"/>
      <c r="BK251" s="6"/>
      <c r="BL251" s="6"/>
      <c r="BM251" s="6"/>
      <c r="BN251" s="6"/>
      <c r="BO251" s="6"/>
      <c r="BP251" s="6"/>
      <c r="BQ251" s="6"/>
      <c r="BR251" s="6"/>
      <c r="BS251" s="8"/>
      <c r="BT251" s="8"/>
      <c r="BU251" s="6"/>
      <c r="BV251" s="6"/>
      <c r="BW251" s="6"/>
      <c r="BX251" s="8"/>
      <c r="BY251" s="6"/>
      <c r="CE251" s="7"/>
    </row>
    <row r="252" spans="1:83" ht="14" x14ac:dyDescent="0.3">
      <c r="A252" s="2">
        <f t="shared" si="4"/>
        <v>125</v>
      </c>
      <c r="B252" s="2">
        <v>652.47500000000002</v>
      </c>
      <c r="C252" s="2">
        <v>560.18100000000004</v>
      </c>
      <c r="D252" s="2">
        <v>517.91999999999996</v>
      </c>
      <c r="E252" s="2">
        <v>584.80399999999997</v>
      </c>
      <c r="F252" s="2">
        <f t="shared" si="17"/>
        <v>-1421.155</v>
      </c>
      <c r="G252">
        <f t="shared" si="30"/>
        <v>-1.1144999999996799</v>
      </c>
      <c r="H252" s="1">
        <v>752.88199999999995</v>
      </c>
      <c r="I252" s="1">
        <v>655.06700000000001</v>
      </c>
      <c r="J252" s="1">
        <v>957.04399999999998</v>
      </c>
      <c r="K252" s="1">
        <v>653.80499999999995</v>
      </c>
      <c r="L252" s="2">
        <f t="shared" si="31"/>
        <v>-1245.3005000000001</v>
      </c>
      <c r="M252">
        <f t="shared" si="32"/>
        <v>-5.3304999999995744</v>
      </c>
      <c r="N252" s="1">
        <v>1542.941</v>
      </c>
      <c r="O252" s="1">
        <v>764.78899999999999</v>
      </c>
      <c r="P252" s="1">
        <v>1036.4469999999999</v>
      </c>
      <c r="Q252" s="1">
        <v>553.89200000000005</v>
      </c>
      <c r="R252" s="2">
        <f t="shared" si="21"/>
        <v>-1025.4827500000001</v>
      </c>
      <c r="S252">
        <f t="shared" si="33"/>
        <v>-5.8234999999999673</v>
      </c>
      <c r="T252" s="1">
        <v>1014.1559999999999</v>
      </c>
      <c r="U252" s="1">
        <v>618.28399999999999</v>
      </c>
      <c r="V252" s="1">
        <v>854.81600000000003</v>
      </c>
      <c r="W252" s="1">
        <v>690.67200000000003</v>
      </c>
      <c r="X252" s="2">
        <f t="shared" si="23"/>
        <v>-1009.9109999999998</v>
      </c>
      <c r="Y252" s="6"/>
      <c r="Z252" s="7"/>
      <c r="AB252" s="6"/>
      <c r="AC252" s="8"/>
      <c r="AD252" s="2">
        <f t="shared" si="34"/>
        <v>1.0455000000001746</v>
      </c>
      <c r="AE252" s="2"/>
      <c r="AF252" s="2"/>
      <c r="AG252" s="2"/>
      <c r="AH252" s="2"/>
      <c r="AI252" s="2"/>
      <c r="AJ252" s="6"/>
      <c r="AK252" s="6"/>
      <c r="AL252" s="6"/>
      <c r="AM252" s="6"/>
      <c r="AN252" s="6"/>
      <c r="AO252" s="6"/>
      <c r="AP252" s="6"/>
      <c r="AQ252" s="9"/>
      <c r="AR252" s="6"/>
      <c r="AS252" s="6"/>
      <c r="AT252" s="6"/>
      <c r="AU252" s="6"/>
      <c r="AV252" s="7"/>
      <c r="AW252" s="7"/>
      <c r="AX252" s="7"/>
      <c r="AY252" s="7"/>
      <c r="BB252" s="6"/>
      <c r="BC252" s="6"/>
      <c r="BD252" s="6"/>
      <c r="BE252" s="6"/>
      <c r="BF252" s="6"/>
      <c r="BG252" s="6"/>
      <c r="BH252" s="6"/>
      <c r="BI252" s="6"/>
      <c r="BJ252" s="6"/>
      <c r="BK252" s="6"/>
      <c r="BL252" s="6"/>
      <c r="BM252" s="6"/>
      <c r="BN252" s="6"/>
      <c r="BO252" s="6"/>
      <c r="BP252" s="6"/>
      <c r="BQ252" s="6"/>
      <c r="BR252" s="6"/>
      <c r="BS252" s="8"/>
      <c r="BT252" s="12"/>
      <c r="BU252" s="6"/>
      <c r="BV252" s="6"/>
      <c r="BW252" s="6"/>
      <c r="BX252" s="12"/>
      <c r="BY252" s="6"/>
      <c r="CE252" s="7"/>
    </row>
    <row r="253" spans="1:83" ht="14" x14ac:dyDescent="0.3">
      <c r="A253" s="2">
        <f t="shared" si="4"/>
        <v>125.5</v>
      </c>
      <c r="B253" s="2">
        <v>652.27700000000004</v>
      </c>
      <c r="C253" s="2">
        <v>558.44600000000003</v>
      </c>
      <c r="D253" s="2">
        <v>516.91999999999996</v>
      </c>
      <c r="E253" s="2">
        <v>583.99800000000005</v>
      </c>
      <c r="F253" s="2">
        <f t="shared" si="17"/>
        <v>-1422.0897500000001</v>
      </c>
      <c r="G253">
        <f t="shared" si="30"/>
        <v>-1.9115000000001601</v>
      </c>
      <c r="H253" s="1">
        <v>751.46400000000006</v>
      </c>
      <c r="I253" s="1">
        <v>652.39800000000002</v>
      </c>
      <c r="J253" s="1">
        <v>953.67600000000004</v>
      </c>
      <c r="K253" s="1">
        <v>655.96900000000005</v>
      </c>
      <c r="L253" s="2">
        <f t="shared" si="31"/>
        <v>-1246.6232500000001</v>
      </c>
      <c r="M253">
        <f t="shared" si="32"/>
        <v>1.4749999999999091</v>
      </c>
      <c r="N253" s="1">
        <v>1540.364</v>
      </c>
      <c r="O253" s="1">
        <v>760.25900000000001</v>
      </c>
      <c r="P253" s="1">
        <v>1031.508</v>
      </c>
      <c r="Q253" s="1">
        <v>553.35900000000004</v>
      </c>
      <c r="R253" s="2">
        <f t="shared" si="21"/>
        <v>-1028.6275000000001</v>
      </c>
      <c r="S253">
        <f t="shared" si="33"/>
        <v>-6.9200000000000728</v>
      </c>
      <c r="T253" s="1">
        <v>1014.239</v>
      </c>
      <c r="U253" s="1">
        <v>617.13800000000003</v>
      </c>
      <c r="V253" s="1">
        <v>853.15800000000002</v>
      </c>
      <c r="W253" s="1">
        <v>689.67100000000005</v>
      </c>
      <c r="X253" s="2">
        <f t="shared" si="23"/>
        <v>-1011.2922500000001</v>
      </c>
      <c r="Y253" s="6"/>
      <c r="Z253" s="7"/>
      <c r="AB253" s="6"/>
      <c r="AC253" s="8"/>
      <c r="AD253" s="2">
        <f t="shared" si="34"/>
        <v>-13.008000000000038</v>
      </c>
      <c r="AE253" s="2"/>
      <c r="AF253" s="2"/>
      <c r="AG253" s="2"/>
      <c r="AH253" s="2"/>
      <c r="AI253" s="2"/>
      <c r="AJ253" s="6"/>
      <c r="AK253" s="6"/>
      <c r="AL253" s="6"/>
      <c r="AM253" s="6"/>
      <c r="AN253" s="6"/>
      <c r="AO253" s="6"/>
      <c r="AP253" s="6"/>
      <c r="AQ253" s="6"/>
      <c r="AR253" s="6"/>
      <c r="AS253" s="6"/>
      <c r="AT253" s="6"/>
      <c r="AU253" s="6"/>
      <c r="AV253" s="11"/>
      <c r="AW253" s="7"/>
      <c r="AX253" s="7"/>
      <c r="AY253" s="7"/>
      <c r="BB253" s="6"/>
      <c r="BC253" s="6"/>
      <c r="BD253" s="6"/>
      <c r="BE253" s="6"/>
      <c r="BF253" s="6"/>
      <c r="BG253" s="6"/>
      <c r="BH253" s="6"/>
      <c r="BI253" s="6"/>
      <c r="BJ253" s="6"/>
      <c r="BK253" s="6"/>
      <c r="BL253" s="6"/>
      <c r="BM253" s="6"/>
      <c r="BN253" s="6"/>
      <c r="BO253" s="6"/>
      <c r="BP253" s="6"/>
      <c r="BQ253" s="6"/>
      <c r="BR253" s="6"/>
      <c r="BS253" s="8"/>
      <c r="BT253" s="12"/>
      <c r="BU253" s="6"/>
      <c r="BV253" s="6"/>
      <c r="BW253" s="6"/>
      <c r="BX253" s="12"/>
      <c r="BY253" s="6"/>
      <c r="CE253" s="7"/>
    </row>
    <row r="254" spans="1:83" ht="14" x14ac:dyDescent="0.3">
      <c r="A254" s="2">
        <f t="shared" si="4"/>
        <v>126</v>
      </c>
      <c r="B254" s="3">
        <v>652.31899999999996</v>
      </c>
      <c r="C254" s="2">
        <v>558.32299999999998</v>
      </c>
      <c r="D254" s="2">
        <v>517.08699999999999</v>
      </c>
      <c r="E254" s="2">
        <v>581.68299999999999</v>
      </c>
      <c r="F254" s="2">
        <f t="shared" si="17"/>
        <v>-1422.6469999999999</v>
      </c>
      <c r="G254">
        <f t="shared" si="30"/>
        <v>-1.4854999999997744</v>
      </c>
      <c r="H254" s="1">
        <v>751.274</v>
      </c>
      <c r="I254" s="1">
        <v>651.41399999999999</v>
      </c>
      <c r="J254" s="1">
        <v>952.65700000000004</v>
      </c>
      <c r="K254" s="1">
        <v>647.50099999999998</v>
      </c>
      <c r="L254" s="2">
        <f t="shared" si="31"/>
        <v>-1249.2884999999999</v>
      </c>
      <c r="M254">
        <f t="shared" si="32"/>
        <v>-3.2705000000000837</v>
      </c>
      <c r="N254" s="1">
        <v>1533.1420000000001</v>
      </c>
      <c r="O254" s="1">
        <v>760.41099999999994</v>
      </c>
      <c r="P254" s="1">
        <v>1028.5650000000001</v>
      </c>
      <c r="Q254" s="1">
        <v>551.72500000000002</v>
      </c>
      <c r="R254" s="2">
        <f t="shared" si="21"/>
        <v>-1031.53925</v>
      </c>
      <c r="S254">
        <f t="shared" si="33"/>
        <v>-5.8744999999998981</v>
      </c>
      <c r="T254" s="1">
        <v>1014.216</v>
      </c>
      <c r="U254" s="1">
        <v>617.88900000000001</v>
      </c>
      <c r="V254" s="1">
        <v>853.46400000000006</v>
      </c>
      <c r="W254" s="1">
        <v>688.81600000000003</v>
      </c>
      <c r="X254" s="2">
        <f t="shared" si="23"/>
        <v>-1010.7695</v>
      </c>
      <c r="Y254" s="6"/>
      <c r="Z254" s="7"/>
      <c r="AB254" s="6"/>
      <c r="AC254" s="8"/>
      <c r="AD254" s="2">
        <f t="shared" si="34"/>
        <v>4.8389999999999418</v>
      </c>
      <c r="AE254" s="2"/>
      <c r="AF254" s="2"/>
      <c r="AG254" s="2"/>
      <c r="AH254" s="2"/>
      <c r="AI254" s="2"/>
      <c r="AJ254" s="6"/>
      <c r="AK254" s="6"/>
      <c r="AL254" s="6"/>
      <c r="AM254" s="6"/>
      <c r="AN254" s="6"/>
      <c r="AO254" s="6"/>
      <c r="AP254" s="6"/>
      <c r="AQ254" s="6"/>
      <c r="AR254" s="6"/>
      <c r="AS254" s="6"/>
      <c r="AT254" s="6"/>
      <c r="AU254" s="6"/>
      <c r="AV254" s="7"/>
      <c r="AW254" s="7"/>
      <c r="AX254" s="7"/>
      <c r="AY254" s="7"/>
      <c r="BB254" s="6"/>
      <c r="BC254" s="6"/>
      <c r="BD254" s="6"/>
      <c r="BE254" s="6"/>
      <c r="BF254" s="6"/>
      <c r="BG254" s="6"/>
      <c r="BH254" s="6"/>
      <c r="BI254" s="6"/>
      <c r="BJ254" s="6"/>
      <c r="BK254" s="6"/>
      <c r="BL254" s="6"/>
      <c r="BM254" s="6"/>
      <c r="BN254" s="6"/>
      <c r="BO254" s="6"/>
      <c r="BP254" s="6"/>
      <c r="BQ254" s="6"/>
      <c r="BR254" s="6"/>
      <c r="BS254" s="8"/>
      <c r="BT254" s="8"/>
      <c r="BU254" s="6"/>
      <c r="BV254" s="6"/>
      <c r="BW254" s="6"/>
      <c r="BX254" s="8"/>
      <c r="BY254" s="6"/>
      <c r="CE254" s="7"/>
    </row>
    <row r="255" spans="1:83" ht="14" x14ac:dyDescent="0.3">
      <c r="A255" s="2">
        <f t="shared" si="4"/>
        <v>126.5</v>
      </c>
      <c r="B255" s="2">
        <v>650.67399999999998</v>
      </c>
      <c r="C255" s="2">
        <v>557.10299999999995</v>
      </c>
      <c r="D255" s="2">
        <v>516.51900000000001</v>
      </c>
      <c r="E255" s="2">
        <v>581.29300000000001</v>
      </c>
      <c r="F255" s="2">
        <f t="shared" si="17"/>
        <v>-1423.60275</v>
      </c>
      <c r="G255">
        <f t="shared" si="30"/>
        <v>-1.0595000000002983</v>
      </c>
      <c r="H255" s="1">
        <v>751.45699999999999</v>
      </c>
      <c r="I255" s="1">
        <v>652.82799999999997</v>
      </c>
      <c r="J255" s="1">
        <v>953.51</v>
      </c>
      <c r="K255" s="1">
        <v>648.00099999999998</v>
      </c>
      <c r="L255" s="2">
        <f t="shared" si="31"/>
        <v>-1248.5509999999999</v>
      </c>
      <c r="M255">
        <f t="shared" si="32"/>
        <v>-5.6500000000141881E-2</v>
      </c>
      <c r="N255" s="1">
        <v>1526.5329999999999</v>
      </c>
      <c r="O255" s="1">
        <v>758.471</v>
      </c>
      <c r="P255" s="1">
        <v>1024.326</v>
      </c>
      <c r="Q255" s="1">
        <v>550.673</v>
      </c>
      <c r="R255" s="2">
        <f t="shared" si="21"/>
        <v>-1034.9992500000001</v>
      </c>
      <c r="S255">
        <f t="shared" si="33"/>
        <v>-4.8889999999996689</v>
      </c>
      <c r="T255" s="1">
        <v>1013.042</v>
      </c>
      <c r="U255" s="1">
        <v>616.67399999999998</v>
      </c>
      <c r="V255" s="1">
        <v>842.25800000000004</v>
      </c>
      <c r="W255" s="1">
        <v>687.60900000000004</v>
      </c>
      <c r="X255" s="2">
        <f t="shared" si="23"/>
        <v>-1017.2735</v>
      </c>
      <c r="Y255" s="6"/>
      <c r="Z255" s="7"/>
      <c r="AB255" s="6"/>
      <c r="AC255" s="8"/>
      <c r="AD255" s="2">
        <f t="shared" si="34"/>
        <v>-2.4499999999998181</v>
      </c>
      <c r="AE255" s="2"/>
      <c r="AF255" s="2"/>
      <c r="AG255" s="2"/>
      <c r="AH255" s="2"/>
      <c r="AI255" s="2"/>
      <c r="AJ255" s="6"/>
      <c r="AK255" s="6"/>
      <c r="AL255" s="6"/>
      <c r="AM255" s="6"/>
      <c r="AN255" s="6"/>
      <c r="AO255" s="6"/>
      <c r="AP255" s="6"/>
      <c r="AQ255" s="6"/>
      <c r="AR255" s="6"/>
      <c r="AS255" s="6"/>
      <c r="AT255" s="6"/>
      <c r="AU255" s="6"/>
      <c r="AV255" s="7"/>
      <c r="AW255" s="7"/>
      <c r="AX255" s="7"/>
      <c r="AY255" s="7"/>
      <c r="BB255" s="6"/>
      <c r="BC255" s="6"/>
      <c r="BD255" s="6"/>
      <c r="BE255" s="6"/>
      <c r="BF255" s="6"/>
      <c r="BG255" s="6"/>
      <c r="BH255" s="6"/>
      <c r="BI255" s="6"/>
      <c r="BJ255" s="6"/>
      <c r="BK255" s="6"/>
      <c r="BL255" s="6"/>
      <c r="BM255" s="6"/>
      <c r="BN255" s="6"/>
      <c r="BO255" s="6"/>
      <c r="BP255" s="6"/>
      <c r="BQ255" s="6"/>
      <c r="BR255" s="6"/>
      <c r="BS255" s="8"/>
      <c r="BT255" s="8"/>
      <c r="BU255" s="6"/>
      <c r="BV255" s="6"/>
      <c r="BW255" s="6"/>
      <c r="BX255" s="8"/>
      <c r="BY255" s="6"/>
      <c r="CE255" s="7"/>
    </row>
    <row r="256" spans="1:83" ht="14" x14ac:dyDescent="0.3">
      <c r="A256" s="2">
        <f t="shared" si="4"/>
        <v>127</v>
      </c>
      <c r="B256" s="2">
        <v>649.88400000000001</v>
      </c>
      <c r="C256" s="2">
        <v>556.52099999999996</v>
      </c>
      <c r="D256" s="2">
        <v>516.76199999999994</v>
      </c>
      <c r="E256" s="2">
        <v>579.45100000000002</v>
      </c>
      <c r="F256" s="2">
        <f t="shared" si="17"/>
        <v>-1424.3454999999999</v>
      </c>
      <c r="G256">
        <f t="shared" si="30"/>
        <v>-2.3654999999998836</v>
      </c>
      <c r="H256" s="1">
        <v>750.74400000000003</v>
      </c>
      <c r="I256" s="1">
        <v>650.24</v>
      </c>
      <c r="J256" s="1">
        <v>949.78800000000001</v>
      </c>
      <c r="K256" s="1">
        <v>648.48299999999995</v>
      </c>
      <c r="L256" s="2">
        <f t="shared" si="31"/>
        <v>-1250.18625</v>
      </c>
      <c r="M256">
        <f t="shared" si="32"/>
        <v>-5.0990000000001601</v>
      </c>
      <c r="N256" s="1">
        <v>1522.481</v>
      </c>
      <c r="O256" s="1">
        <v>755.55899999999997</v>
      </c>
      <c r="P256" s="1">
        <v>1020.192</v>
      </c>
      <c r="Q256" s="1">
        <v>550.02200000000005</v>
      </c>
      <c r="R256" s="2">
        <f t="shared" si="21"/>
        <v>-1037.9365</v>
      </c>
      <c r="S256">
        <f t="shared" si="33"/>
        <v>-8.8585000000002765</v>
      </c>
      <c r="T256" s="1">
        <v>1009.192</v>
      </c>
      <c r="U256" s="1">
        <v>615.33399999999995</v>
      </c>
      <c r="V256" s="1">
        <v>850.36199999999997</v>
      </c>
      <c r="W256" s="1">
        <v>688.10900000000004</v>
      </c>
      <c r="X256" s="2">
        <f t="shared" si="23"/>
        <v>-1014.854</v>
      </c>
      <c r="Y256" s="6"/>
      <c r="Z256" s="7"/>
      <c r="AB256" s="6"/>
      <c r="AC256" s="8"/>
      <c r="AD256" s="2">
        <f t="shared" si="34"/>
        <v>-4.4410000000002583</v>
      </c>
      <c r="AE256" s="2"/>
      <c r="AF256" s="3"/>
      <c r="AG256" s="2"/>
      <c r="AH256" s="2"/>
      <c r="AI256" s="2"/>
      <c r="AJ256" s="6"/>
      <c r="AK256" s="6"/>
      <c r="AL256" s="6"/>
      <c r="AM256" s="6"/>
      <c r="AN256" s="6"/>
      <c r="AO256" s="6"/>
      <c r="AP256" s="6"/>
      <c r="AQ256" s="6"/>
      <c r="AR256" s="6"/>
      <c r="AS256" s="6"/>
      <c r="AT256" s="6"/>
      <c r="AU256" s="6"/>
      <c r="AV256" s="7"/>
      <c r="AW256" s="7"/>
      <c r="AX256" s="7"/>
      <c r="AY256" s="7"/>
      <c r="BB256" s="6"/>
      <c r="BC256" s="6"/>
      <c r="BD256" s="6"/>
      <c r="BE256" s="6"/>
      <c r="BF256" s="6"/>
      <c r="BG256" s="6"/>
      <c r="BH256" s="6"/>
      <c r="BI256" s="6"/>
      <c r="BJ256" s="6"/>
      <c r="BK256" s="6"/>
      <c r="BL256" s="6"/>
      <c r="BM256" s="6"/>
      <c r="BN256" s="6"/>
      <c r="BO256" s="6"/>
      <c r="BP256" s="6"/>
      <c r="BQ256" s="6"/>
      <c r="BR256" s="6"/>
      <c r="BS256" s="8"/>
      <c r="BT256" s="8"/>
      <c r="BU256" s="6"/>
      <c r="BV256" s="6"/>
      <c r="BW256" s="6"/>
      <c r="BX256" s="8"/>
      <c r="BY256" s="6"/>
      <c r="CE256" s="7"/>
    </row>
    <row r="257" spans="1:83" ht="14" x14ac:dyDescent="0.3">
      <c r="A257" s="2">
        <f t="shared" si="4"/>
        <v>127.5</v>
      </c>
      <c r="B257" s="2">
        <v>649.38499999999999</v>
      </c>
      <c r="C257" s="2">
        <v>555.82000000000005</v>
      </c>
      <c r="D257" s="2">
        <v>516.12099999999998</v>
      </c>
      <c r="E257" s="2">
        <v>579.173</v>
      </c>
      <c r="F257" s="2">
        <f t="shared" si="17"/>
        <v>-1424.8752500000001</v>
      </c>
      <c r="G257">
        <f t="shared" si="30"/>
        <v>-2.9830000000001746</v>
      </c>
      <c r="H257" s="1">
        <v>748.35799999999995</v>
      </c>
      <c r="I257" s="1">
        <v>649.923</v>
      </c>
      <c r="J257" s="1">
        <v>948.21500000000003</v>
      </c>
      <c r="K257" s="1">
        <v>652.64599999999996</v>
      </c>
      <c r="L257" s="2">
        <f t="shared" si="31"/>
        <v>-1250.2145</v>
      </c>
      <c r="M257">
        <f t="shared" si="32"/>
        <v>-0.1694999999999709</v>
      </c>
      <c r="N257" s="1">
        <v>1516.566</v>
      </c>
      <c r="O257" s="1">
        <v>754.80899999999997</v>
      </c>
      <c r="P257" s="1">
        <v>1017.6130000000001</v>
      </c>
      <c r="Q257" s="1">
        <v>549.48800000000006</v>
      </c>
      <c r="R257" s="2">
        <f t="shared" si="21"/>
        <v>-1040.3809999999999</v>
      </c>
      <c r="S257">
        <f t="shared" si="33"/>
        <v>-5.7979999999997744</v>
      </c>
      <c r="T257" s="1">
        <v>1004.04</v>
      </c>
      <c r="U257" s="1">
        <v>615.84400000000005</v>
      </c>
      <c r="V257" s="1">
        <v>849.97799999999995</v>
      </c>
      <c r="W257" s="1">
        <v>687.39599999999996</v>
      </c>
      <c r="X257" s="2">
        <f t="shared" si="23"/>
        <v>-1016.079</v>
      </c>
      <c r="Y257" s="6"/>
      <c r="Z257" s="7"/>
      <c r="AB257" s="6"/>
      <c r="AC257" s="8"/>
      <c r="AD257" s="2">
        <f t="shared" si="34"/>
        <v>-3.8704999999997654</v>
      </c>
      <c r="AE257" s="2"/>
      <c r="AF257" s="2"/>
      <c r="AG257" s="2"/>
      <c r="AH257" s="2"/>
      <c r="AI257" s="2"/>
      <c r="AJ257" s="6"/>
      <c r="AK257" s="6"/>
      <c r="AL257" s="6"/>
      <c r="AM257" s="6"/>
      <c r="AN257" s="6"/>
      <c r="AO257" s="6"/>
      <c r="AP257" s="6"/>
      <c r="AQ257" s="6"/>
      <c r="AR257" s="6"/>
      <c r="AS257" s="6"/>
      <c r="AT257" s="6"/>
      <c r="AU257" s="6"/>
      <c r="AV257" s="13"/>
      <c r="AW257" s="7"/>
      <c r="BB257" s="6"/>
      <c r="BC257" s="6"/>
      <c r="BD257" s="6"/>
      <c r="BE257" s="6"/>
      <c r="BF257" s="6"/>
      <c r="BG257" s="6"/>
      <c r="BH257" s="6"/>
      <c r="BI257" s="6"/>
      <c r="BJ257" s="6"/>
      <c r="BK257" s="6"/>
      <c r="BL257" s="6"/>
      <c r="BM257" s="6"/>
      <c r="BN257" s="6"/>
      <c r="BO257" s="6"/>
      <c r="BP257" s="6"/>
      <c r="BQ257" s="6"/>
      <c r="BR257" s="6"/>
      <c r="BS257" s="8"/>
      <c r="BT257" s="8"/>
      <c r="BU257" s="6"/>
      <c r="BV257" s="6"/>
      <c r="BW257" s="6"/>
      <c r="BX257" s="8"/>
      <c r="BY257" s="6"/>
      <c r="CE257" s="7"/>
    </row>
    <row r="258" spans="1:83" ht="14" x14ac:dyDescent="0.3">
      <c r="A258" s="2">
        <f t="shared" si="4"/>
        <v>128</v>
      </c>
      <c r="B258" s="2">
        <v>649.36900000000003</v>
      </c>
      <c r="C258" s="2">
        <v>553.05200000000002</v>
      </c>
      <c r="D258" s="2">
        <v>515.71400000000006</v>
      </c>
      <c r="E258" s="2">
        <v>577.63300000000004</v>
      </c>
      <c r="F258" s="2">
        <f t="shared" ref="F258:F273" si="35">((B258+C258+D258+E258)/4)-2000</f>
        <v>-1426.058</v>
      </c>
      <c r="G258">
        <f t="shared" si="30"/>
        <v>-0.64399999999977808</v>
      </c>
      <c r="H258" s="1">
        <v>749.13199999999995</v>
      </c>
      <c r="I258" s="2">
        <v>648.37699999999995</v>
      </c>
      <c r="J258" s="1">
        <v>946.34100000000001</v>
      </c>
      <c r="K258" s="1">
        <v>645.09400000000005</v>
      </c>
      <c r="L258" s="2">
        <f t="shared" si="31"/>
        <v>-1252.7640000000001</v>
      </c>
      <c r="M258">
        <f t="shared" si="32"/>
        <v>-3.0945000000001528</v>
      </c>
      <c r="N258" s="1">
        <v>1512.29</v>
      </c>
      <c r="O258" s="1">
        <v>749.06700000000001</v>
      </c>
      <c r="P258" s="1">
        <v>1010.304</v>
      </c>
      <c r="Q258" s="1">
        <v>549.09799999999996</v>
      </c>
      <c r="R258" s="2">
        <f t="shared" ref="R258:R273" si="36">((N258+O258+P258+Q258)/4)-2000</f>
        <v>-1044.81025</v>
      </c>
      <c r="S258">
        <f t="shared" si="33"/>
        <v>-5.136000000000422</v>
      </c>
      <c r="T258" s="1">
        <v>1002.3819999999999</v>
      </c>
      <c r="U258" s="1">
        <v>614.20899999999995</v>
      </c>
      <c r="V258" s="1">
        <v>848.00099999999998</v>
      </c>
      <c r="W258" s="1">
        <v>684.45500000000004</v>
      </c>
      <c r="X258" s="2">
        <f t="shared" ref="X258:X273" si="37">((T258+U258+V258+U258+V258)/4)-2000</f>
        <v>-1018.2995000000001</v>
      </c>
      <c r="Y258" s="6"/>
      <c r="Z258" s="7"/>
      <c r="AB258" s="6"/>
      <c r="AC258" s="8"/>
      <c r="AD258" s="2">
        <f t="shared" si="34"/>
        <v>1.259499999999889</v>
      </c>
      <c r="AE258" s="2"/>
      <c r="AF258" s="2"/>
      <c r="AG258" s="2"/>
      <c r="AH258" s="2"/>
      <c r="AI258" s="2"/>
      <c r="AJ258" s="6"/>
      <c r="AK258" s="6"/>
      <c r="AL258" s="6"/>
      <c r="AM258" s="6"/>
      <c r="AN258" s="6"/>
      <c r="AO258" s="6"/>
      <c r="AP258" s="6"/>
      <c r="AQ258" s="6"/>
      <c r="AR258" s="6"/>
      <c r="AS258" s="6"/>
      <c r="AT258" s="6"/>
      <c r="AU258" s="6"/>
      <c r="AV258" s="13"/>
      <c r="AW258" s="7"/>
      <c r="BB258" s="6"/>
      <c r="BC258" s="6"/>
      <c r="BD258" s="6"/>
      <c r="BE258" s="6"/>
      <c r="BF258" s="6"/>
      <c r="BG258" s="6"/>
      <c r="BH258" s="6"/>
      <c r="BI258" s="6"/>
      <c r="BJ258" s="6"/>
      <c r="BK258" s="6"/>
      <c r="BL258" s="6"/>
      <c r="BM258" s="6"/>
      <c r="BN258" s="6"/>
      <c r="BO258" s="6"/>
      <c r="BP258" s="6"/>
      <c r="BQ258" s="6"/>
      <c r="BR258" s="6"/>
      <c r="BS258" s="8"/>
      <c r="BT258" s="8"/>
      <c r="BU258" s="6"/>
      <c r="BV258" s="6"/>
      <c r="BW258" s="6"/>
      <c r="BX258" s="8"/>
      <c r="BY258" s="6"/>
      <c r="CE258" s="7"/>
    </row>
    <row r="259" spans="1:83" ht="14" x14ac:dyDescent="0.3">
      <c r="A259" s="2">
        <f t="shared" ref="A259:A273" si="38">A258+0.5</f>
        <v>128.5</v>
      </c>
      <c r="B259" s="2">
        <v>648.06500000000005</v>
      </c>
      <c r="C259" s="2">
        <v>551.16899999999998</v>
      </c>
      <c r="D259" s="2">
        <v>514.99</v>
      </c>
      <c r="E259" s="2">
        <v>575.57799999999997</v>
      </c>
      <c r="F259" s="2">
        <f t="shared" si="35"/>
        <v>-1427.5495000000001</v>
      </c>
      <c r="G259">
        <f t="shared" ref="G259:G272" si="39">(F261-F260)/(A261-A260)</f>
        <v>-1.2615000000000691</v>
      </c>
      <c r="H259" s="1">
        <v>747.35500000000002</v>
      </c>
      <c r="I259" s="2">
        <v>647.47199999999998</v>
      </c>
      <c r="J259" s="1">
        <v>949.01900000000001</v>
      </c>
      <c r="K259" s="1">
        <v>644.75900000000001</v>
      </c>
      <c r="L259" s="2">
        <f t="shared" ref="L259:L273" si="40">((H259+I259+J259+K259)/4)-2000</f>
        <v>-1252.8487500000001</v>
      </c>
      <c r="M259">
        <f t="shared" ref="M259:M271" si="41">(L261-L260)/(A261-A260)</f>
        <v>5.4580000000005384</v>
      </c>
      <c r="N259" s="1">
        <v>1506.1579999999999</v>
      </c>
      <c r="O259" s="1">
        <v>747.89200000000005</v>
      </c>
      <c r="P259" s="1">
        <v>1007.672</v>
      </c>
      <c r="Q259" s="1">
        <v>547.44100000000003</v>
      </c>
      <c r="R259" s="2">
        <f t="shared" si="36"/>
        <v>-1047.7092499999999</v>
      </c>
      <c r="S259">
        <f t="shared" ref="S259:S272" si="42">(R261-R260)/(A261-A260)</f>
        <v>-5.6229999999995925</v>
      </c>
      <c r="T259" s="1">
        <v>998.97299999999996</v>
      </c>
      <c r="U259" s="1">
        <v>613.30899999999997</v>
      </c>
      <c r="V259" s="1">
        <v>846.73500000000001</v>
      </c>
      <c r="W259" s="1">
        <v>688.80700000000002</v>
      </c>
      <c r="X259" s="2">
        <f t="shared" si="37"/>
        <v>-1020.23475</v>
      </c>
      <c r="Y259" s="6"/>
      <c r="Z259" s="7"/>
      <c r="AB259" s="6"/>
      <c r="AC259" s="8"/>
      <c r="AD259" s="2">
        <f t="shared" si="34"/>
        <v>-2.3640000000000327</v>
      </c>
      <c r="AE259" s="2"/>
      <c r="AF259" s="2"/>
      <c r="AG259" s="2"/>
      <c r="AH259" s="2"/>
      <c r="AI259" s="1"/>
      <c r="AJ259" s="6"/>
      <c r="AK259" s="6"/>
      <c r="AL259" s="6"/>
      <c r="AM259" s="6"/>
      <c r="AN259" s="6"/>
      <c r="AO259" s="6"/>
      <c r="AP259" s="6"/>
      <c r="AQ259" s="6"/>
      <c r="AR259" s="6"/>
      <c r="AS259" s="6"/>
      <c r="AT259" s="6"/>
      <c r="AU259" s="6"/>
      <c r="AV259" s="13"/>
      <c r="BB259" s="6"/>
      <c r="BC259" s="6"/>
      <c r="BD259" s="6"/>
      <c r="BE259" s="6"/>
      <c r="BF259" s="6"/>
      <c r="BG259" s="6"/>
      <c r="BH259" s="6"/>
      <c r="BI259" s="6"/>
      <c r="BJ259" s="6"/>
      <c r="BK259" s="6"/>
      <c r="BL259" s="6"/>
      <c r="BM259" s="6"/>
      <c r="BN259" s="6"/>
      <c r="BO259" s="6"/>
      <c r="BP259" s="6"/>
      <c r="BQ259" s="6"/>
      <c r="BR259" s="6"/>
      <c r="BS259" s="8"/>
      <c r="BT259" s="8"/>
      <c r="BU259" s="6"/>
      <c r="BV259" s="6"/>
      <c r="BW259" s="6"/>
      <c r="BX259" s="8"/>
      <c r="BY259" s="6"/>
      <c r="CE259" s="7"/>
    </row>
    <row r="260" spans="1:83" ht="14" x14ac:dyDescent="0.3">
      <c r="A260" s="2">
        <f t="shared" si="38"/>
        <v>129</v>
      </c>
      <c r="B260" s="2">
        <v>647.65300000000002</v>
      </c>
      <c r="C260" s="2">
        <v>551.26099999999997</v>
      </c>
      <c r="D260" s="2">
        <v>515.45100000000002</v>
      </c>
      <c r="E260" s="2">
        <v>574.149</v>
      </c>
      <c r="F260" s="2">
        <f t="shared" si="35"/>
        <v>-1427.8715</v>
      </c>
      <c r="G260">
        <f t="shared" si="39"/>
        <v>-0.66750000000001819</v>
      </c>
      <c r="H260" s="1">
        <v>747.90499999999997</v>
      </c>
      <c r="I260" s="2">
        <v>645.91300000000001</v>
      </c>
      <c r="J260" s="1">
        <v>942.95299999999997</v>
      </c>
      <c r="K260" s="1">
        <v>645.64499999999998</v>
      </c>
      <c r="L260" s="2">
        <f t="shared" si="40"/>
        <v>-1254.3960000000002</v>
      </c>
      <c r="M260">
        <f t="shared" si="41"/>
        <v>-5.3845000000001164</v>
      </c>
      <c r="N260" s="1">
        <v>1500.9659999999999</v>
      </c>
      <c r="O260" s="1">
        <v>746.99099999999999</v>
      </c>
      <c r="P260" s="1">
        <v>1002.937</v>
      </c>
      <c r="Q260" s="1">
        <v>547.99699999999996</v>
      </c>
      <c r="R260" s="2">
        <f t="shared" si="36"/>
        <v>-1050.2772500000001</v>
      </c>
      <c r="S260">
        <f t="shared" si="42"/>
        <v>-6.9009999999998399</v>
      </c>
      <c r="T260" s="1">
        <v>999.08199999999999</v>
      </c>
      <c r="U260" s="1">
        <v>613.58500000000004</v>
      </c>
      <c r="V260" s="1">
        <v>847.66399999999999</v>
      </c>
      <c r="W260" s="1">
        <v>687.71799999999996</v>
      </c>
      <c r="X260" s="2">
        <f t="shared" si="37"/>
        <v>-1019.605</v>
      </c>
      <c r="Y260" s="6"/>
      <c r="Z260" s="7"/>
      <c r="AB260" s="6"/>
      <c r="AC260" s="8"/>
      <c r="AD260" s="2">
        <f t="shared" ref="AD260:AD272" si="43">(X262-X261)/(A262-A261)</f>
        <v>-3.6559999999999491</v>
      </c>
      <c r="AE260" s="2"/>
      <c r="AF260" s="2"/>
      <c r="AG260" s="2"/>
      <c r="AH260" s="2"/>
      <c r="AI260" s="1"/>
      <c r="AJ260" s="6"/>
      <c r="AK260" s="6"/>
      <c r="AL260" s="6"/>
      <c r="AM260" s="6"/>
      <c r="AN260" s="6"/>
      <c r="AO260" s="6"/>
      <c r="AP260" s="6"/>
      <c r="AQ260" s="6"/>
      <c r="AR260" s="6"/>
      <c r="AS260" s="6"/>
      <c r="AT260" s="6"/>
      <c r="AU260" s="6"/>
      <c r="AV260" s="13"/>
      <c r="BB260" s="6"/>
      <c r="BC260" s="6"/>
      <c r="BD260" s="6"/>
      <c r="BE260" s="6"/>
      <c r="BF260" s="6"/>
      <c r="BG260" s="6"/>
      <c r="BH260" s="6"/>
      <c r="BI260" s="6"/>
      <c r="BJ260" s="6"/>
      <c r="BK260" s="6"/>
      <c r="BL260" s="6"/>
      <c r="BM260" s="6"/>
      <c r="BN260" s="6"/>
      <c r="BO260" s="6"/>
      <c r="BP260" s="6"/>
      <c r="BQ260" s="6"/>
      <c r="BR260" s="6"/>
      <c r="BS260" s="8"/>
      <c r="BT260" s="8"/>
      <c r="BU260" s="6"/>
      <c r="BV260" s="6"/>
      <c r="BW260" s="6"/>
      <c r="BX260" s="8"/>
      <c r="BY260" s="6"/>
      <c r="CE260" s="7"/>
    </row>
    <row r="261" spans="1:83" ht="14" x14ac:dyDescent="0.3">
      <c r="A261" s="2">
        <f t="shared" si="38"/>
        <v>129.5</v>
      </c>
      <c r="B261" s="2">
        <v>647.572</v>
      </c>
      <c r="C261" s="2">
        <v>549.61400000000003</v>
      </c>
      <c r="D261" s="2">
        <v>515.18499999999995</v>
      </c>
      <c r="E261" s="2">
        <v>573.62</v>
      </c>
      <c r="F261" s="2">
        <f t="shared" si="35"/>
        <v>-1428.50225</v>
      </c>
      <c r="G261">
        <f t="shared" si="39"/>
        <v>-2.3505000000000109</v>
      </c>
      <c r="H261" s="1">
        <v>749.327</v>
      </c>
      <c r="I261" s="10">
        <v>647.67200000000003</v>
      </c>
      <c r="J261" s="1">
        <v>944.48900000000003</v>
      </c>
      <c r="K261" s="1">
        <v>651.84400000000005</v>
      </c>
      <c r="L261" s="2">
        <f t="shared" si="40"/>
        <v>-1251.6669999999999</v>
      </c>
      <c r="M261">
        <f t="shared" si="41"/>
        <v>-6.1705000000001746</v>
      </c>
      <c r="N261" s="1">
        <v>1495.14</v>
      </c>
      <c r="O261" s="1">
        <v>745.48199999999997</v>
      </c>
      <c r="P261" s="1">
        <v>999.76</v>
      </c>
      <c r="Q261" s="1">
        <v>547.26300000000003</v>
      </c>
      <c r="R261" s="2">
        <f t="shared" si="36"/>
        <v>-1053.0887499999999</v>
      </c>
      <c r="S261">
        <f t="shared" si="42"/>
        <v>-6.5275000000001455</v>
      </c>
      <c r="T261" s="1">
        <v>997.32600000000002</v>
      </c>
      <c r="U261" s="1">
        <v>613.41300000000001</v>
      </c>
      <c r="V261" s="1">
        <v>846.35</v>
      </c>
      <c r="W261" s="1">
        <v>686.59100000000001</v>
      </c>
      <c r="X261" s="2">
        <f t="shared" si="37"/>
        <v>-1020.787</v>
      </c>
      <c r="Y261" s="6"/>
      <c r="Z261" s="7"/>
      <c r="AB261" s="6"/>
      <c r="AC261" s="8"/>
      <c r="AD261" s="2">
        <f t="shared" si="43"/>
        <v>1.4060000000001764</v>
      </c>
      <c r="AE261" s="2"/>
      <c r="AF261" s="2"/>
      <c r="AG261" s="2"/>
      <c r="AH261" s="2"/>
      <c r="AI261" s="1"/>
      <c r="AJ261" s="6"/>
      <c r="AK261" s="6"/>
      <c r="AL261" s="6"/>
      <c r="AM261" s="6"/>
      <c r="AN261" s="6"/>
      <c r="AO261" s="6"/>
      <c r="AP261" s="6"/>
      <c r="AQ261" s="6"/>
      <c r="AR261" s="6"/>
      <c r="AS261" s="6"/>
      <c r="AT261" s="6"/>
      <c r="AU261" s="6"/>
      <c r="AV261" s="13"/>
      <c r="BB261" s="9"/>
      <c r="BC261" s="6"/>
      <c r="BD261" s="6"/>
      <c r="BE261" s="6"/>
      <c r="BF261" s="9"/>
      <c r="BG261" s="6"/>
      <c r="BH261" s="6"/>
      <c r="BI261" s="6"/>
      <c r="BJ261" s="6"/>
      <c r="BK261" s="6"/>
      <c r="BL261" s="6"/>
      <c r="BM261" s="6"/>
      <c r="BN261" s="6"/>
      <c r="BO261" s="6"/>
      <c r="BP261" s="6"/>
      <c r="BQ261" s="6"/>
      <c r="BR261" s="6"/>
      <c r="BS261" s="12"/>
      <c r="BT261" s="8"/>
      <c r="BU261" s="6"/>
      <c r="BV261" s="6"/>
      <c r="BW261" s="9"/>
      <c r="BX261" s="8"/>
      <c r="BY261" s="6"/>
      <c r="CE261" s="7"/>
    </row>
    <row r="262" spans="1:83" ht="14" x14ac:dyDescent="0.3">
      <c r="A262" s="2">
        <f t="shared" si="38"/>
        <v>130</v>
      </c>
      <c r="B262" s="2">
        <v>646.67100000000005</v>
      </c>
      <c r="C262" s="2">
        <v>550.07799999999997</v>
      </c>
      <c r="D262" s="2">
        <v>515.64599999999996</v>
      </c>
      <c r="E262" s="2">
        <v>572.26099999999997</v>
      </c>
      <c r="F262" s="2">
        <f t="shared" si="35"/>
        <v>-1428.836</v>
      </c>
      <c r="G262">
        <f t="shared" si="39"/>
        <v>-3.1920000000000073</v>
      </c>
      <c r="H262" s="1">
        <v>747.37599999999998</v>
      </c>
      <c r="I262" s="1">
        <v>647.005</v>
      </c>
      <c r="J262" s="1">
        <v>944.29899999999998</v>
      </c>
      <c r="K262" s="1">
        <v>643.88300000000004</v>
      </c>
      <c r="L262" s="2">
        <f t="shared" si="40"/>
        <v>-1254.35925</v>
      </c>
      <c r="M262">
        <f t="shared" si="41"/>
        <v>16.554000000000087</v>
      </c>
      <c r="N262" s="1">
        <v>1486.817</v>
      </c>
      <c r="O262" s="1">
        <v>744.63499999999999</v>
      </c>
      <c r="P262" s="1">
        <v>995.71</v>
      </c>
      <c r="Q262" s="1">
        <v>546.68100000000004</v>
      </c>
      <c r="R262" s="2">
        <f t="shared" si="36"/>
        <v>-1056.5392499999998</v>
      </c>
      <c r="S262">
        <f t="shared" si="42"/>
        <v>-3.4954999999999927</v>
      </c>
      <c r="T262" s="1">
        <v>996.70600000000002</v>
      </c>
      <c r="U262" s="1">
        <v>611.92999999999995</v>
      </c>
      <c r="V262" s="1">
        <v>844.48699999999997</v>
      </c>
      <c r="W262" s="1">
        <v>684.995</v>
      </c>
      <c r="X262" s="2">
        <f t="shared" si="37"/>
        <v>-1022.615</v>
      </c>
      <c r="Y262" s="6"/>
      <c r="Z262" s="7"/>
      <c r="AB262" s="6"/>
      <c r="AC262" s="8"/>
      <c r="AD262" s="2">
        <f t="shared" si="43"/>
        <v>-4.2574999999999363</v>
      </c>
      <c r="AE262" s="2"/>
      <c r="AF262" s="2"/>
      <c r="AG262" s="2"/>
      <c r="AH262" s="2"/>
      <c r="AI262" s="1"/>
      <c r="AJ262" s="6"/>
      <c r="AK262" s="6"/>
      <c r="AL262" s="6"/>
      <c r="AM262" s="6"/>
      <c r="AN262" s="9"/>
      <c r="AO262" s="6"/>
      <c r="AP262" s="6"/>
      <c r="AQ262" s="9"/>
      <c r="AR262" s="6"/>
      <c r="AS262" s="6"/>
      <c r="AT262" s="6"/>
      <c r="AU262" s="6"/>
      <c r="AV262" s="13"/>
      <c r="BB262" s="6"/>
      <c r="BC262" s="6"/>
      <c r="BD262" s="6"/>
      <c r="BE262" s="6"/>
      <c r="BF262" s="6"/>
      <c r="BG262" s="6"/>
      <c r="BH262" s="6"/>
      <c r="BI262" s="6"/>
      <c r="BJ262" s="6"/>
      <c r="BK262" s="6"/>
      <c r="BL262" s="6"/>
      <c r="BM262" s="8"/>
      <c r="BN262" s="6"/>
      <c r="BO262" s="6"/>
      <c r="BP262" s="6"/>
      <c r="BQ262" s="6"/>
      <c r="BR262" s="6"/>
      <c r="BS262" s="12"/>
      <c r="BT262" s="8"/>
      <c r="BU262" s="6"/>
      <c r="BV262" s="6"/>
      <c r="BW262" s="6"/>
      <c r="BX262" s="8"/>
      <c r="BY262" s="6"/>
      <c r="CE262" s="7"/>
    </row>
    <row r="263" spans="1:83" ht="14" x14ac:dyDescent="0.3">
      <c r="A263" s="2">
        <f t="shared" si="38"/>
        <v>130.5</v>
      </c>
      <c r="B263" s="2">
        <v>645.899</v>
      </c>
      <c r="C263" s="2">
        <v>548.94299999999998</v>
      </c>
      <c r="D263" s="2">
        <v>514.60500000000002</v>
      </c>
      <c r="E263" s="2">
        <v>570.50800000000004</v>
      </c>
      <c r="F263" s="2">
        <f t="shared" si="35"/>
        <v>-1430.01125</v>
      </c>
      <c r="G263">
        <f t="shared" si="39"/>
        <v>-0.13149999999995998</v>
      </c>
      <c r="H263" s="1">
        <v>745.48900000000003</v>
      </c>
      <c r="I263" s="1">
        <v>643.00400000000002</v>
      </c>
      <c r="J263" s="1">
        <v>939.28</v>
      </c>
      <c r="K263" s="1">
        <v>642.44899999999996</v>
      </c>
      <c r="L263" s="2">
        <f t="shared" si="40"/>
        <v>-1257.4445000000001</v>
      </c>
      <c r="M263">
        <f t="shared" si="41"/>
        <v>-12.707999999999629</v>
      </c>
      <c r="N263" s="1">
        <v>1484.0440000000001</v>
      </c>
      <c r="O263" s="1">
        <v>740.49400000000003</v>
      </c>
      <c r="P263" s="1">
        <v>991.26300000000003</v>
      </c>
      <c r="Q263" s="1">
        <v>544.98699999999997</v>
      </c>
      <c r="R263" s="2">
        <f t="shared" si="36"/>
        <v>-1059.8029999999999</v>
      </c>
      <c r="S263">
        <f t="shared" si="42"/>
        <v>-7.3800000000001091</v>
      </c>
      <c r="T263" s="1">
        <v>997.16399999999999</v>
      </c>
      <c r="U263" s="10">
        <v>612.74300000000005</v>
      </c>
      <c r="V263" s="1">
        <v>844.851</v>
      </c>
      <c r="W263" s="1">
        <v>686.39300000000003</v>
      </c>
      <c r="X263" s="2">
        <f t="shared" si="37"/>
        <v>-1021.9119999999999</v>
      </c>
      <c r="Y263" s="6"/>
      <c r="Z263" s="7"/>
      <c r="AB263" s="6"/>
      <c r="AC263" s="8"/>
      <c r="AD263" s="2">
        <f t="shared" si="43"/>
        <v>-2.1290000000003602</v>
      </c>
      <c r="AE263" s="2"/>
      <c r="AF263" s="2"/>
      <c r="AG263" s="2"/>
      <c r="AH263" s="2"/>
      <c r="AI263" s="1"/>
      <c r="AJ263" s="6"/>
      <c r="AK263" s="6"/>
      <c r="AL263" s="6"/>
      <c r="AM263" s="6"/>
      <c r="AN263" s="6"/>
      <c r="AO263" s="6"/>
      <c r="AP263" s="6"/>
      <c r="AQ263" s="6"/>
      <c r="AR263" s="6"/>
      <c r="AS263" s="9"/>
      <c r="AT263" s="6"/>
      <c r="AU263" s="6"/>
      <c r="AV263" s="13"/>
      <c r="BB263" s="6"/>
      <c r="BC263" s="6"/>
      <c r="BD263" s="6"/>
      <c r="BE263" s="6"/>
      <c r="BF263" s="6"/>
      <c r="BG263" s="6"/>
      <c r="BH263" s="6"/>
      <c r="BI263" s="6"/>
      <c r="BJ263" s="6"/>
      <c r="BK263" s="6"/>
      <c r="BL263" s="6"/>
      <c r="BM263" s="8"/>
      <c r="BN263" s="6"/>
      <c r="BO263" s="6"/>
      <c r="BP263" s="6"/>
      <c r="BQ263" s="6"/>
      <c r="BR263" s="6"/>
      <c r="BS263" s="8"/>
      <c r="BT263" s="8"/>
      <c r="BU263" s="6"/>
      <c r="BV263" s="6"/>
      <c r="BW263" s="6"/>
      <c r="BX263" s="8"/>
      <c r="BY263" s="6"/>
      <c r="CE263" s="7"/>
    </row>
    <row r="264" spans="1:83" ht="14" x14ac:dyDescent="0.3">
      <c r="A264" s="2">
        <f t="shared" si="38"/>
        <v>131</v>
      </c>
      <c r="B264" s="2">
        <v>645.024</v>
      </c>
      <c r="C264" s="2">
        <v>546.84500000000003</v>
      </c>
      <c r="D264" s="2">
        <v>514.06299999999999</v>
      </c>
      <c r="E264" s="2">
        <v>567.63900000000001</v>
      </c>
      <c r="F264" s="2">
        <f t="shared" si="35"/>
        <v>-1431.60725</v>
      </c>
      <c r="G264">
        <f t="shared" si="39"/>
        <v>-0.4054999999998472</v>
      </c>
      <c r="H264" s="1">
        <v>744.86099999999999</v>
      </c>
      <c r="I264" s="1">
        <v>644.18899999999996</v>
      </c>
      <c r="J264" s="1">
        <v>939.87599999999998</v>
      </c>
      <c r="K264" s="1">
        <v>674.404</v>
      </c>
      <c r="L264" s="2">
        <f t="shared" si="40"/>
        <v>-1249.1675</v>
      </c>
      <c r="M264">
        <f t="shared" si="41"/>
        <v>-4.9115000000001601</v>
      </c>
      <c r="N264" s="1">
        <v>1481.799</v>
      </c>
      <c r="O264" s="1">
        <v>739.04700000000003</v>
      </c>
      <c r="P264" s="1">
        <v>988.98599999999999</v>
      </c>
      <c r="Q264" s="1">
        <v>543.96500000000003</v>
      </c>
      <c r="R264" s="2">
        <f t="shared" si="36"/>
        <v>-1061.5507499999999</v>
      </c>
      <c r="S264">
        <f t="shared" si="42"/>
        <v>-2.5850000000000364</v>
      </c>
      <c r="T264" s="1">
        <v>994.16700000000003</v>
      </c>
      <c r="U264" s="1">
        <v>611.60599999999999</v>
      </c>
      <c r="V264" s="1">
        <v>843.22900000000004</v>
      </c>
      <c r="W264" s="1">
        <v>686.01900000000001</v>
      </c>
      <c r="X264" s="2">
        <f t="shared" si="37"/>
        <v>-1024.0407499999999</v>
      </c>
      <c r="Y264" s="6"/>
      <c r="Z264" s="7"/>
      <c r="AB264" s="6"/>
      <c r="AC264" s="8"/>
      <c r="AD264" s="2">
        <f t="shared" si="43"/>
        <v>-0.18499999999994543</v>
      </c>
      <c r="AE264" s="2"/>
      <c r="AF264" s="2"/>
      <c r="AG264" s="2"/>
      <c r="AH264" s="2"/>
      <c r="AI264" s="1"/>
      <c r="AJ264" s="6"/>
      <c r="AK264" s="6"/>
      <c r="AL264" s="6"/>
      <c r="AM264" s="6"/>
      <c r="AN264" s="6"/>
      <c r="AO264" s="6"/>
      <c r="AP264" s="6"/>
      <c r="AQ264" s="6"/>
      <c r="AR264" s="6"/>
      <c r="AS264" s="6"/>
      <c r="AT264" s="6"/>
      <c r="AU264" s="6"/>
      <c r="AV264" s="13"/>
      <c r="BB264" s="6"/>
      <c r="BC264" s="6"/>
      <c r="BD264" s="6"/>
      <c r="BE264" s="6"/>
      <c r="BF264" s="6"/>
      <c r="BG264" s="6"/>
      <c r="BH264" s="6"/>
      <c r="BI264" s="6"/>
      <c r="BJ264" s="6"/>
      <c r="BK264" s="6"/>
      <c r="BL264" s="6"/>
      <c r="BM264" s="8"/>
      <c r="BN264" s="6"/>
      <c r="BO264" s="6"/>
      <c r="BP264" s="6"/>
      <c r="BQ264" s="6"/>
      <c r="BR264" s="8"/>
      <c r="BS264" s="8"/>
      <c r="BT264" s="8"/>
      <c r="BU264" s="6"/>
      <c r="BV264" s="6"/>
      <c r="BW264" s="6"/>
      <c r="BX264" s="8"/>
      <c r="BY264" s="6"/>
      <c r="CE264" s="7"/>
    </row>
    <row r="265" spans="1:83" ht="14" x14ac:dyDescent="0.3">
      <c r="A265" s="2">
        <f t="shared" si="38"/>
        <v>131.5</v>
      </c>
      <c r="B265" s="2">
        <v>643.89200000000005</v>
      </c>
      <c r="C265" s="2">
        <v>547.65099999999995</v>
      </c>
      <c r="D265" s="2">
        <v>515.04700000000003</v>
      </c>
      <c r="E265" s="2">
        <v>566.71799999999996</v>
      </c>
      <c r="F265" s="2">
        <f t="shared" si="35"/>
        <v>-1431.673</v>
      </c>
      <c r="G265">
        <f t="shared" si="39"/>
        <v>-4.2899999999999636</v>
      </c>
      <c r="H265" s="1">
        <v>742.96400000000006</v>
      </c>
      <c r="I265" s="1">
        <v>645.08600000000001</v>
      </c>
      <c r="J265" s="1">
        <v>940.14</v>
      </c>
      <c r="K265" s="1">
        <v>649.72400000000005</v>
      </c>
      <c r="L265" s="2">
        <f t="shared" si="40"/>
        <v>-1255.5214999999998</v>
      </c>
      <c r="M265">
        <f t="shared" si="41"/>
        <v>-1.3635000000003856</v>
      </c>
      <c r="N265" s="1">
        <v>1474.48</v>
      </c>
      <c r="O265" s="1">
        <v>736.41499999999996</v>
      </c>
      <c r="P265" s="1">
        <v>984.35500000000002</v>
      </c>
      <c r="Q265" s="1">
        <v>543.78700000000003</v>
      </c>
      <c r="R265" s="2">
        <f t="shared" si="36"/>
        <v>-1065.2407499999999</v>
      </c>
      <c r="S265">
        <f t="shared" si="42"/>
        <v>-9.9740000000001601</v>
      </c>
      <c r="T265" s="1">
        <v>992.11699999999996</v>
      </c>
      <c r="U265" s="1">
        <v>611.07399999999996</v>
      </c>
      <c r="V265" s="1">
        <v>842.65700000000004</v>
      </c>
      <c r="W265" s="1">
        <v>685.505</v>
      </c>
      <c r="X265" s="2">
        <f t="shared" si="37"/>
        <v>-1025.1052500000001</v>
      </c>
      <c r="Y265" s="6"/>
      <c r="Z265" s="7"/>
      <c r="AB265" s="6"/>
      <c r="AC265" s="8"/>
      <c r="AD265" s="2">
        <f t="shared" si="43"/>
        <v>-3.2705000000000837</v>
      </c>
      <c r="AE265" s="2"/>
      <c r="AF265" s="2"/>
      <c r="AG265" s="2"/>
      <c r="AH265" s="2"/>
      <c r="AI265" s="1"/>
      <c r="AJ265" s="6"/>
      <c r="AK265" s="6"/>
      <c r="AL265" s="6"/>
      <c r="AM265" s="6"/>
      <c r="AN265" s="6"/>
      <c r="AO265" s="6"/>
      <c r="AP265" s="6"/>
      <c r="AQ265" s="6"/>
      <c r="AR265" s="6"/>
      <c r="AS265" s="6"/>
      <c r="AT265" s="6"/>
      <c r="AU265" s="6"/>
      <c r="AV265" s="13"/>
      <c r="BB265" s="6"/>
      <c r="BC265" s="6"/>
      <c r="BD265" s="9"/>
      <c r="BE265" s="6"/>
      <c r="BF265" s="6"/>
      <c r="BG265" s="6"/>
      <c r="BH265" s="6"/>
      <c r="BI265" s="6"/>
      <c r="BJ265" s="6"/>
      <c r="BK265" s="6"/>
      <c r="BL265" s="6"/>
      <c r="BM265" s="8"/>
      <c r="BN265" s="6"/>
      <c r="BO265" s="6"/>
      <c r="BP265" s="6"/>
      <c r="BQ265" s="6"/>
      <c r="BR265" s="8"/>
      <c r="BS265" s="8"/>
      <c r="BT265" s="8"/>
      <c r="BU265" s="6"/>
      <c r="BV265" s="6"/>
      <c r="BW265" s="6"/>
      <c r="BX265" s="8"/>
      <c r="BY265" s="6"/>
      <c r="CE265" s="7"/>
    </row>
    <row r="266" spans="1:83" ht="14" x14ac:dyDescent="0.3">
      <c r="A266" s="2">
        <f t="shared" si="38"/>
        <v>132</v>
      </c>
      <c r="B266" s="2">
        <v>643.99</v>
      </c>
      <c r="C266" s="2">
        <v>547.85199999999998</v>
      </c>
      <c r="D266" s="2">
        <v>515.04700000000003</v>
      </c>
      <c r="E266" s="2">
        <v>565.60799999999995</v>
      </c>
      <c r="F266" s="2">
        <f t="shared" si="35"/>
        <v>-1431.8757499999999</v>
      </c>
      <c r="G266">
        <f t="shared" si="39"/>
        <v>0.32549999999991996</v>
      </c>
      <c r="H266" s="1">
        <v>743.30499999999995</v>
      </c>
      <c r="I266" s="1">
        <v>644.70899999999995</v>
      </c>
      <c r="J266" s="1">
        <v>938.81299999999999</v>
      </c>
      <c r="K266" s="1">
        <v>641.26400000000001</v>
      </c>
      <c r="L266" s="2">
        <f t="shared" si="40"/>
        <v>-1257.9772499999999</v>
      </c>
      <c r="M266">
        <f t="shared" si="41"/>
        <v>-0.47899999999981446</v>
      </c>
      <c r="N266" s="1">
        <v>1471.8150000000001</v>
      </c>
      <c r="O266" s="1">
        <v>735.88800000000003</v>
      </c>
      <c r="P266" s="1">
        <v>983.15300000000002</v>
      </c>
      <c r="Q266" s="1">
        <v>543.01099999999997</v>
      </c>
      <c r="R266" s="2">
        <f t="shared" si="36"/>
        <v>-1066.53325</v>
      </c>
      <c r="S266">
        <f t="shared" si="42"/>
        <v>-6.2479999999995925</v>
      </c>
      <c r="T266" s="1">
        <v>991.90700000000004</v>
      </c>
      <c r="U266" s="1">
        <v>611.16800000000001</v>
      </c>
      <c r="V266" s="1">
        <v>842.48299999999995</v>
      </c>
      <c r="W266" s="1">
        <v>685.95500000000004</v>
      </c>
      <c r="X266" s="2">
        <f t="shared" si="37"/>
        <v>-1025.19775</v>
      </c>
      <c r="Y266" s="6"/>
      <c r="Z266" s="7"/>
      <c r="AB266" s="6"/>
      <c r="AC266" s="8"/>
      <c r="AD266" s="2">
        <f t="shared" si="43"/>
        <v>-2.6489999999994325</v>
      </c>
      <c r="AE266" s="2"/>
      <c r="AF266" s="2"/>
      <c r="AG266" s="2"/>
      <c r="AH266" s="2"/>
      <c r="AI266" s="1"/>
      <c r="AJ266" s="6"/>
      <c r="AK266" s="6"/>
      <c r="AL266" s="6"/>
      <c r="AM266" s="6"/>
      <c r="AN266" s="6"/>
      <c r="AO266" s="6"/>
      <c r="AP266" s="6"/>
      <c r="AQ266" s="6"/>
      <c r="AR266" s="6"/>
      <c r="AS266" s="6"/>
      <c r="AT266" s="6"/>
      <c r="AU266" s="6"/>
      <c r="AV266" s="13"/>
      <c r="BB266" s="6"/>
      <c r="BC266" s="6"/>
      <c r="BD266" s="6"/>
      <c r="BE266" s="6"/>
      <c r="BF266" s="6"/>
      <c r="BG266" s="6"/>
      <c r="BH266" s="6"/>
      <c r="BI266" s="6"/>
      <c r="BJ266" s="6"/>
      <c r="BK266" s="6"/>
      <c r="BL266" s="6"/>
      <c r="BM266" s="12"/>
      <c r="BN266" s="6"/>
      <c r="BO266" s="6"/>
      <c r="BP266" s="6"/>
      <c r="BQ266" s="6"/>
      <c r="BR266" s="6"/>
      <c r="BS266" s="8"/>
      <c r="BT266" s="8"/>
      <c r="BU266" s="6"/>
      <c r="BV266" s="6"/>
      <c r="BW266" s="6"/>
      <c r="BX266" s="8"/>
      <c r="BY266" s="6"/>
      <c r="CE266" s="7"/>
    </row>
    <row r="267" spans="1:83" ht="14" x14ac:dyDescent="0.3">
      <c r="A267" s="2">
        <f t="shared" si="38"/>
        <v>132.5</v>
      </c>
      <c r="B267" s="2">
        <v>641.68299999999999</v>
      </c>
      <c r="C267" s="2">
        <v>544.37800000000004</v>
      </c>
      <c r="D267" s="2">
        <v>513.82000000000005</v>
      </c>
      <c r="E267" s="2">
        <v>564.03599999999994</v>
      </c>
      <c r="F267" s="2">
        <f t="shared" si="35"/>
        <v>-1434.0207499999999</v>
      </c>
      <c r="G267">
        <f t="shared" si="39"/>
        <v>-2.2400000000002365</v>
      </c>
      <c r="H267" s="1">
        <v>742.54200000000003</v>
      </c>
      <c r="I267" s="1">
        <v>643.75400000000002</v>
      </c>
      <c r="J267" s="1">
        <v>938.05</v>
      </c>
      <c r="K267" s="2">
        <v>641.01800000000003</v>
      </c>
      <c r="L267" s="2">
        <f t="shared" si="40"/>
        <v>-1258.6590000000001</v>
      </c>
      <c r="M267">
        <f t="shared" si="41"/>
        <v>-0.7820000000001528</v>
      </c>
      <c r="N267" s="1">
        <v>1463.9849999999999</v>
      </c>
      <c r="O267" s="1">
        <v>730.95</v>
      </c>
      <c r="P267" s="1">
        <v>978.30499999999995</v>
      </c>
      <c r="Q267" s="1">
        <v>540.67899999999997</v>
      </c>
      <c r="R267" s="2">
        <f t="shared" si="36"/>
        <v>-1071.52025</v>
      </c>
      <c r="S267">
        <f t="shared" si="42"/>
        <v>-4.6960000000003674</v>
      </c>
      <c r="T267" s="1">
        <v>990.22</v>
      </c>
      <c r="U267" s="1">
        <v>609.59</v>
      </c>
      <c r="V267" s="1">
        <v>841.63400000000001</v>
      </c>
      <c r="W267" s="1">
        <v>683.68100000000004</v>
      </c>
      <c r="X267" s="2">
        <f t="shared" si="37"/>
        <v>-1026.8330000000001</v>
      </c>
      <c r="Y267" s="6"/>
      <c r="Z267" s="7"/>
      <c r="AB267" s="6"/>
      <c r="AC267" s="8"/>
      <c r="AD267" s="2">
        <f t="shared" si="43"/>
        <v>51.868499999999585</v>
      </c>
      <c r="AE267" s="2"/>
      <c r="AF267" s="2"/>
      <c r="AG267" s="2"/>
      <c r="AH267" s="2"/>
      <c r="AI267" s="1"/>
      <c r="AJ267" s="6"/>
      <c r="AK267" s="6"/>
      <c r="AL267" s="6"/>
      <c r="AM267" s="6"/>
      <c r="AN267" s="6"/>
      <c r="AO267" s="6"/>
      <c r="AP267" s="6"/>
      <c r="AQ267" s="6"/>
      <c r="AR267" s="6"/>
      <c r="AS267" s="6"/>
      <c r="AT267" s="6"/>
      <c r="AU267" s="6"/>
      <c r="AV267" s="13"/>
      <c r="BB267" s="6"/>
      <c r="BC267" s="6"/>
      <c r="BD267" s="6"/>
      <c r="BE267" s="6"/>
      <c r="BF267" s="6"/>
      <c r="BG267" s="6"/>
      <c r="BH267" s="6"/>
      <c r="BI267" s="6"/>
      <c r="BJ267" s="6"/>
      <c r="BK267" s="6"/>
      <c r="BL267" s="6"/>
      <c r="BM267" s="12"/>
      <c r="BN267" s="6"/>
      <c r="BO267" s="6"/>
      <c r="BP267" s="6"/>
      <c r="BQ267" s="6"/>
      <c r="BR267" s="6"/>
      <c r="BS267" s="8"/>
      <c r="BT267" s="8"/>
      <c r="BU267" s="6"/>
      <c r="BV267" s="6"/>
      <c r="BW267" s="6"/>
      <c r="BX267" s="8"/>
      <c r="BY267" s="6"/>
      <c r="CE267" s="7"/>
    </row>
    <row r="268" spans="1:83" ht="14" x14ac:dyDescent="0.3">
      <c r="A268" s="2">
        <f t="shared" si="38"/>
        <v>133</v>
      </c>
      <c r="B268" s="2">
        <v>642.49400000000003</v>
      </c>
      <c r="C268" s="2">
        <v>545.15800000000002</v>
      </c>
      <c r="D268" s="2">
        <v>513.89099999999996</v>
      </c>
      <c r="E268" s="2">
        <v>563.02499999999998</v>
      </c>
      <c r="F268" s="2">
        <f t="shared" si="35"/>
        <v>-1433.8579999999999</v>
      </c>
      <c r="G268">
        <f t="shared" si="39"/>
        <v>-1.8874999999998181</v>
      </c>
      <c r="H268" s="1">
        <v>742.34400000000005</v>
      </c>
      <c r="I268" s="1">
        <v>642.82500000000005</v>
      </c>
      <c r="J268" s="1">
        <v>936.80399999999997</v>
      </c>
      <c r="K268" s="2">
        <v>642.43299999999999</v>
      </c>
      <c r="L268" s="2">
        <f t="shared" si="40"/>
        <v>-1258.8985</v>
      </c>
      <c r="M268">
        <f t="shared" si="41"/>
        <v>-5.0399999999999636</v>
      </c>
      <c r="N268" s="1">
        <v>1458.954</v>
      </c>
      <c r="O268" s="1">
        <v>729.45500000000004</v>
      </c>
      <c r="P268" s="1">
        <v>973.73</v>
      </c>
      <c r="Q268" s="1">
        <v>539.28399999999999</v>
      </c>
      <c r="R268" s="2">
        <f t="shared" si="36"/>
        <v>-1074.6442499999998</v>
      </c>
      <c r="S268">
        <f t="shared" si="42"/>
        <v>-5.4434999999998581</v>
      </c>
      <c r="T268" s="1">
        <v>988.12800000000004</v>
      </c>
      <c r="U268" s="1">
        <v>609.52700000000004</v>
      </c>
      <c r="V268" s="1">
        <v>840.09400000000005</v>
      </c>
      <c r="W268" s="1">
        <v>681.21100000000001</v>
      </c>
      <c r="X268" s="2">
        <f t="shared" si="37"/>
        <v>-1028.1574999999998</v>
      </c>
      <c r="Y268" s="6"/>
      <c r="Z268" s="7"/>
      <c r="AB268" s="6"/>
      <c r="AC268" s="8"/>
      <c r="AD268" s="2">
        <f t="shared" si="43"/>
        <v>-56.072999999999865</v>
      </c>
      <c r="AE268" s="2"/>
      <c r="AF268" s="2"/>
      <c r="AG268" s="2"/>
      <c r="AH268" s="2"/>
      <c r="AI268" s="1"/>
      <c r="AJ268" s="6"/>
      <c r="AK268" s="6"/>
      <c r="AL268" s="6"/>
      <c r="AM268" s="6"/>
      <c r="AN268" s="6"/>
      <c r="AO268" s="6"/>
      <c r="AP268" s="6"/>
      <c r="AQ268" s="6"/>
      <c r="AR268" s="6"/>
      <c r="AS268" s="6"/>
      <c r="AT268" s="6"/>
      <c r="AU268" s="6"/>
      <c r="AV268" s="13"/>
      <c r="BB268" s="6"/>
      <c r="BC268" s="6"/>
      <c r="BD268" s="6"/>
      <c r="BE268" s="6"/>
      <c r="BF268" s="6"/>
      <c r="BG268" s="6"/>
      <c r="BH268" s="6"/>
      <c r="BI268" s="6"/>
      <c r="BJ268" s="6"/>
      <c r="BK268" s="6"/>
      <c r="BL268" s="6"/>
      <c r="BM268" s="12"/>
      <c r="BN268" s="6"/>
      <c r="BO268" s="6"/>
      <c r="BP268" s="6"/>
      <c r="BQ268" s="6"/>
      <c r="BR268" s="6"/>
      <c r="BS268" s="8"/>
      <c r="BT268" s="8"/>
      <c r="BU268" s="6"/>
      <c r="BV268" s="6"/>
      <c r="BW268" s="6"/>
      <c r="BX268" s="8"/>
      <c r="BY268" s="6"/>
      <c r="CE268" s="7"/>
    </row>
    <row r="269" spans="1:83" ht="14" x14ac:dyDescent="0.3">
      <c r="A269" s="2">
        <f t="shared" si="38"/>
        <v>133.5</v>
      </c>
      <c r="B269" s="2">
        <v>640.98500000000001</v>
      </c>
      <c r="C269" s="2">
        <v>543.79499999999996</v>
      </c>
      <c r="D269" s="2">
        <v>513.06299999999999</v>
      </c>
      <c r="E269" s="2">
        <v>562.245</v>
      </c>
      <c r="F269" s="2">
        <f t="shared" si="35"/>
        <v>-1434.9780000000001</v>
      </c>
      <c r="G269">
        <f t="shared" si="39"/>
        <v>-0.3930000000000291</v>
      </c>
      <c r="H269" s="1">
        <v>739.76099999999997</v>
      </c>
      <c r="I269" s="1">
        <v>642.01300000000003</v>
      </c>
      <c r="J269" s="1">
        <v>935.13099999999997</v>
      </c>
      <c r="K269" s="2">
        <v>645.93700000000001</v>
      </c>
      <c r="L269" s="2">
        <f t="shared" si="40"/>
        <v>-1259.2895000000001</v>
      </c>
      <c r="M269">
        <f t="shared" si="41"/>
        <v>-1.6295000000000073</v>
      </c>
      <c r="N269" s="1">
        <v>1453.009</v>
      </c>
      <c r="O269" s="1">
        <v>728.90499999999997</v>
      </c>
      <c r="P269" s="1">
        <v>971.072</v>
      </c>
      <c r="Q269" s="1">
        <v>539.04499999999996</v>
      </c>
      <c r="R269" s="2">
        <f t="shared" si="36"/>
        <v>-1076.99225</v>
      </c>
      <c r="S269">
        <f t="shared" si="42"/>
        <v>-4.9795000000003711</v>
      </c>
      <c r="T269" s="1">
        <v>987.96500000000003</v>
      </c>
      <c r="U269" s="1">
        <v>608.47699999999998</v>
      </c>
      <c r="V269" s="1">
        <v>893.09400000000005</v>
      </c>
      <c r="W269" s="1">
        <v>681.35599999999999</v>
      </c>
      <c r="X269" s="2">
        <f t="shared" si="37"/>
        <v>-1002.22325</v>
      </c>
      <c r="Y269" s="6"/>
      <c r="Z269" s="7"/>
      <c r="AB269" s="6"/>
      <c r="AC269" s="8"/>
      <c r="AD269" s="2">
        <f t="shared" si="43"/>
        <v>-1.9235000000003311</v>
      </c>
      <c r="AE269" s="2"/>
      <c r="AF269" s="2"/>
      <c r="AG269" s="2"/>
      <c r="AH269" s="2"/>
      <c r="AI269" s="1"/>
      <c r="AJ269" s="6"/>
      <c r="AK269" s="6"/>
      <c r="AL269" s="8"/>
      <c r="AM269" s="6"/>
      <c r="AN269" s="6"/>
      <c r="AO269" s="6"/>
      <c r="AP269" s="6"/>
      <c r="AQ269" s="6"/>
      <c r="AR269" s="6"/>
      <c r="AS269" s="6"/>
      <c r="AT269" s="6"/>
      <c r="AU269" s="6"/>
      <c r="AV269" s="13"/>
      <c r="BB269" s="6"/>
      <c r="BC269" s="6"/>
      <c r="BD269" s="6"/>
      <c r="BE269" s="6"/>
      <c r="BF269" s="6"/>
      <c r="BG269" s="6"/>
      <c r="BH269" s="6"/>
      <c r="BI269" s="6"/>
      <c r="BJ269" s="8"/>
      <c r="BK269" s="6"/>
      <c r="BL269" s="6"/>
      <c r="BM269" s="8"/>
      <c r="BN269" s="6"/>
      <c r="BO269" s="6"/>
      <c r="BP269" s="6"/>
      <c r="BQ269" s="6"/>
      <c r="BR269" s="6"/>
      <c r="BS269" s="8"/>
      <c r="BT269" s="8"/>
      <c r="BU269" s="6"/>
      <c r="BV269" s="6"/>
      <c r="BW269" s="6"/>
      <c r="BX269" s="8"/>
      <c r="BY269" s="6"/>
      <c r="CE269" s="7"/>
    </row>
    <row r="270" spans="1:83" ht="14" x14ac:dyDescent="0.3">
      <c r="A270" s="2">
        <f t="shared" si="38"/>
        <v>134</v>
      </c>
      <c r="B270" s="2">
        <v>640.46400000000006</v>
      </c>
      <c r="C270" s="2">
        <v>542.48299999999995</v>
      </c>
      <c r="D270" s="2">
        <v>512.45699999999999</v>
      </c>
      <c r="E270" s="2">
        <v>560.90899999999999</v>
      </c>
      <c r="F270" s="2">
        <f t="shared" si="35"/>
        <v>-1435.92175</v>
      </c>
      <c r="G270">
        <f t="shared" si="39"/>
        <v>-1.6885000000002037</v>
      </c>
      <c r="H270" s="1">
        <v>739.28599999999994</v>
      </c>
      <c r="I270" s="1">
        <v>641.75599999999997</v>
      </c>
      <c r="J270" s="1">
        <v>933.93499999999995</v>
      </c>
      <c r="K270" s="2">
        <v>637.78499999999997</v>
      </c>
      <c r="L270" s="2">
        <f t="shared" si="40"/>
        <v>-1261.8095000000001</v>
      </c>
      <c r="M270">
        <f t="shared" si="41"/>
        <v>1.5289999999999964</v>
      </c>
      <c r="N270" s="1">
        <v>1448.001</v>
      </c>
      <c r="O270" s="1">
        <v>726.01300000000003</v>
      </c>
      <c r="P270" s="1">
        <v>967.15599999999995</v>
      </c>
      <c r="Q270" s="1">
        <v>539.97400000000005</v>
      </c>
      <c r="R270" s="2">
        <f t="shared" si="36"/>
        <v>-1079.7139999999999</v>
      </c>
      <c r="S270">
        <f t="shared" si="42"/>
        <v>-5.5799999999999272</v>
      </c>
      <c r="T270" s="1">
        <v>986.82899999999995</v>
      </c>
      <c r="U270" s="1">
        <v>608.15200000000004</v>
      </c>
      <c r="V270" s="1">
        <v>837.91399999999999</v>
      </c>
      <c r="W270" s="1">
        <v>680.33</v>
      </c>
      <c r="X270" s="2">
        <f t="shared" si="37"/>
        <v>-1030.2597499999999</v>
      </c>
      <c r="Y270" s="6"/>
      <c r="Z270" s="7"/>
      <c r="AB270" s="6"/>
      <c r="AC270" s="8"/>
      <c r="AD270" s="2">
        <f t="shared" si="43"/>
        <v>-2.7964999999994689</v>
      </c>
      <c r="AE270" s="2"/>
      <c r="AF270" s="2"/>
      <c r="AG270" s="2"/>
      <c r="AH270" s="2"/>
      <c r="AI270" s="1"/>
      <c r="AJ270" s="6"/>
      <c r="AK270" s="6"/>
      <c r="AL270" s="8"/>
      <c r="AM270" s="6"/>
      <c r="AN270" s="6"/>
      <c r="AO270" s="6"/>
      <c r="AP270" s="6"/>
      <c r="AQ270" s="6"/>
      <c r="AR270" s="6"/>
      <c r="AS270" s="6"/>
      <c r="AT270" s="6"/>
      <c r="AU270" s="6"/>
      <c r="AV270" s="13"/>
      <c r="BB270" s="6"/>
      <c r="BC270" s="6"/>
      <c r="BD270" s="6"/>
      <c r="BE270" s="6"/>
      <c r="BF270" s="6"/>
      <c r="BG270" s="6"/>
      <c r="BH270" s="6"/>
      <c r="BI270" s="6"/>
      <c r="BJ270" s="8"/>
      <c r="BK270" s="6"/>
      <c r="BL270" s="6"/>
      <c r="BM270" s="8"/>
      <c r="BN270" s="6"/>
      <c r="BO270" s="6"/>
      <c r="BP270" s="6"/>
      <c r="BQ270" s="6"/>
      <c r="BR270" s="6"/>
      <c r="BS270" s="8"/>
      <c r="BT270" s="8"/>
      <c r="BU270" s="6"/>
      <c r="BV270" s="6"/>
      <c r="BW270" s="6"/>
      <c r="BX270" s="8"/>
      <c r="BY270" s="6"/>
      <c r="CE270" s="7"/>
    </row>
    <row r="271" spans="1:83" ht="14" x14ac:dyDescent="0.3">
      <c r="A271" s="2">
        <f t="shared" si="38"/>
        <v>134.5</v>
      </c>
      <c r="B271" s="2">
        <v>640.322</v>
      </c>
      <c r="C271" s="2">
        <v>543.11599999999999</v>
      </c>
      <c r="D271" s="2">
        <v>512.46100000000001</v>
      </c>
      <c r="E271" s="2">
        <v>559.62800000000004</v>
      </c>
      <c r="F271" s="2">
        <f t="shared" si="35"/>
        <v>-1436.11825</v>
      </c>
      <c r="G271">
        <f t="shared" si="39"/>
        <v>-1.806999999999789</v>
      </c>
      <c r="H271" s="1">
        <v>739.02</v>
      </c>
      <c r="I271" s="1">
        <v>640.14</v>
      </c>
      <c r="J271" s="1">
        <v>932.15</v>
      </c>
      <c r="K271" s="1">
        <v>638.19299999999998</v>
      </c>
      <c r="L271" s="2">
        <f t="shared" si="40"/>
        <v>-1262.6242500000001</v>
      </c>
      <c r="M271">
        <f t="shared" si="41"/>
        <v>-0.46550000000024738</v>
      </c>
      <c r="N271" s="1">
        <v>1442.3710000000001</v>
      </c>
      <c r="O271" s="1">
        <v>726.61099999999999</v>
      </c>
      <c r="P271" s="1">
        <v>964.21900000000005</v>
      </c>
      <c r="Q271" s="1">
        <v>537.98400000000004</v>
      </c>
      <c r="R271" s="2">
        <f t="shared" si="36"/>
        <v>-1082.2037500000001</v>
      </c>
      <c r="S271">
        <f t="shared" si="42"/>
        <v>-2.932999999999538</v>
      </c>
      <c r="T271" s="1">
        <v>985.43799999999999</v>
      </c>
      <c r="U271" s="1">
        <v>607.87</v>
      </c>
      <c r="V271" s="1">
        <v>836.96799999999996</v>
      </c>
      <c r="W271" s="1">
        <v>680.63599999999997</v>
      </c>
      <c r="X271" s="2">
        <f t="shared" si="37"/>
        <v>-1031.2215000000001</v>
      </c>
      <c r="Y271" s="6"/>
      <c r="Z271" s="7"/>
      <c r="AB271" s="6"/>
      <c r="AC271" s="8"/>
      <c r="AD271" s="2">
        <f t="shared" si="43"/>
        <v>2.9314999999996871</v>
      </c>
      <c r="AE271" s="2"/>
      <c r="AF271" s="2"/>
      <c r="AG271" s="2"/>
      <c r="AH271" s="2"/>
      <c r="AI271" s="1"/>
      <c r="AJ271" s="6"/>
      <c r="AK271" s="6"/>
      <c r="AL271" s="8"/>
      <c r="AM271" s="6"/>
      <c r="AN271" s="6"/>
      <c r="AO271" s="6"/>
      <c r="AP271" s="6"/>
      <c r="AQ271" s="6"/>
      <c r="AR271" s="6"/>
      <c r="AS271" s="6"/>
      <c r="AT271" s="6"/>
      <c r="AU271" s="6"/>
      <c r="AV271" s="13"/>
      <c r="BB271" s="6"/>
      <c r="BC271" s="8"/>
      <c r="BD271" s="6"/>
      <c r="BE271" s="6"/>
      <c r="BF271" s="6"/>
      <c r="BG271" s="8"/>
      <c r="BH271" s="6"/>
      <c r="BI271" s="6"/>
      <c r="BJ271" s="8"/>
      <c r="BK271" s="6"/>
      <c r="BL271" s="6"/>
      <c r="BM271" s="8"/>
      <c r="BN271" s="6"/>
      <c r="BO271" s="6"/>
      <c r="BP271" s="6"/>
      <c r="BQ271" s="6"/>
      <c r="BR271" s="6"/>
      <c r="BS271" s="8"/>
      <c r="BT271" s="8"/>
      <c r="BU271" s="6"/>
      <c r="BV271" s="6"/>
      <c r="BW271" s="6"/>
      <c r="BX271" s="8"/>
      <c r="BY271" s="6"/>
      <c r="CE271" s="7"/>
    </row>
    <row r="272" spans="1:83" ht="14" x14ac:dyDescent="0.3">
      <c r="A272" s="2">
        <f t="shared" si="38"/>
        <v>135</v>
      </c>
      <c r="B272" s="2">
        <v>639.18799999999999</v>
      </c>
      <c r="C272" s="2">
        <v>542.92499999999995</v>
      </c>
      <c r="D272" s="2">
        <v>512.46699999999998</v>
      </c>
      <c r="E272" s="2">
        <v>557.57000000000005</v>
      </c>
      <c r="F272" s="2">
        <f t="shared" si="35"/>
        <v>-1436.9625000000001</v>
      </c>
      <c r="G272">
        <f t="shared" si="39"/>
        <v>-10.611557195571956</v>
      </c>
      <c r="H272" s="1">
        <v>741.64800000000002</v>
      </c>
      <c r="I272" s="1">
        <v>639.75599999999997</v>
      </c>
      <c r="J272" s="1">
        <v>931.56100000000004</v>
      </c>
      <c r="K272" s="1">
        <v>639.596</v>
      </c>
      <c r="L272" s="2">
        <f t="shared" si="40"/>
        <v>-1261.8597500000001</v>
      </c>
      <c r="M272">
        <f>(L274-L273)/(A274-A273)</f>
        <v>-9.3143357933579356</v>
      </c>
      <c r="N272" s="1">
        <v>1438.866</v>
      </c>
      <c r="O272" s="1">
        <v>722.32600000000002</v>
      </c>
      <c r="P272" s="1">
        <v>961.88400000000001</v>
      </c>
      <c r="Q272" s="1">
        <v>536.94899999999996</v>
      </c>
      <c r="R272" s="2">
        <f t="shared" si="36"/>
        <v>-1084.9937500000001</v>
      </c>
      <c r="S272">
        <f t="shared" si="42"/>
        <v>-8.0181568265682639</v>
      </c>
      <c r="T272" s="1">
        <v>983.21699999999998</v>
      </c>
      <c r="U272" s="1">
        <v>606.44500000000005</v>
      </c>
      <c r="V272" s="1">
        <v>836.70699999999999</v>
      </c>
      <c r="W272" s="1">
        <v>678.09799999999996</v>
      </c>
      <c r="X272" s="2">
        <f t="shared" si="37"/>
        <v>-1032.6197499999998</v>
      </c>
      <c r="Y272" s="6"/>
      <c r="Z272" s="7"/>
      <c r="AB272" s="6"/>
      <c r="AC272" s="8"/>
      <c r="AD272" s="2">
        <f t="shared" si="43"/>
        <v>-7.6099926199261994</v>
      </c>
      <c r="AE272" s="2"/>
      <c r="AF272" s="2"/>
      <c r="AG272" s="2"/>
      <c r="AH272" s="2"/>
      <c r="AI272" s="1"/>
      <c r="AJ272" s="6"/>
      <c r="AK272" s="6"/>
      <c r="AL272" s="8"/>
      <c r="AM272" s="6"/>
      <c r="AN272" s="6"/>
      <c r="AO272" s="6"/>
      <c r="AP272" s="6"/>
      <c r="AQ272" s="6"/>
      <c r="AR272" s="6"/>
      <c r="AS272" s="6"/>
      <c r="AT272" s="6"/>
      <c r="AU272" s="6"/>
      <c r="AV272" s="13"/>
      <c r="BB272" s="6"/>
      <c r="BC272" s="8"/>
      <c r="BD272" s="6"/>
      <c r="BE272" s="6"/>
      <c r="BF272" s="6"/>
      <c r="BG272" s="8"/>
      <c r="BH272" s="6"/>
      <c r="BI272" s="6"/>
      <c r="BJ272" s="8"/>
      <c r="BK272" s="6"/>
      <c r="BL272" s="6"/>
      <c r="BM272" s="8"/>
      <c r="BN272" s="6"/>
      <c r="BO272" s="6"/>
      <c r="BP272" s="6"/>
      <c r="BQ272" s="6"/>
      <c r="BR272" s="6"/>
      <c r="BS272" s="8"/>
      <c r="BT272" s="8"/>
      <c r="BU272" s="6"/>
      <c r="BV272" s="6"/>
      <c r="BW272" s="6"/>
      <c r="BX272" s="8"/>
      <c r="BY272" s="6"/>
      <c r="CE272" s="7"/>
    </row>
    <row r="273" spans="1:83" ht="14" x14ac:dyDescent="0.3">
      <c r="A273" s="2">
        <f t="shared" si="38"/>
        <v>135.5</v>
      </c>
      <c r="B273" s="2">
        <v>638.55799999999999</v>
      </c>
      <c r="C273" s="2">
        <v>541.00400000000002</v>
      </c>
      <c r="D273" s="2">
        <v>513.1</v>
      </c>
      <c r="E273" s="2">
        <v>555.87400000000002</v>
      </c>
      <c r="F273" s="2">
        <f t="shared" si="35"/>
        <v>-1437.866</v>
      </c>
      <c r="H273" s="1">
        <v>739.20799999999997</v>
      </c>
      <c r="I273" s="1">
        <v>638.702</v>
      </c>
      <c r="J273" s="1">
        <v>929.33399999999995</v>
      </c>
      <c r="K273" s="1">
        <v>644.38599999999997</v>
      </c>
      <c r="L273" s="2">
        <f t="shared" si="40"/>
        <v>-1262.0925000000002</v>
      </c>
      <c r="N273" s="1">
        <v>1436.9870000000001</v>
      </c>
      <c r="O273" s="1">
        <v>721.50300000000004</v>
      </c>
      <c r="P273" s="1">
        <v>959.822</v>
      </c>
      <c r="Q273" s="1">
        <v>535.84699999999998</v>
      </c>
      <c r="R273" s="2">
        <f t="shared" si="36"/>
        <v>-1086.4602499999999</v>
      </c>
      <c r="T273" s="1">
        <v>981.96799999999996</v>
      </c>
      <c r="U273" s="1">
        <v>605.73900000000003</v>
      </c>
      <c r="V273" s="1">
        <v>840.96900000000005</v>
      </c>
      <c r="W273" s="1">
        <v>676.32899999999995</v>
      </c>
      <c r="X273" s="2">
        <f t="shared" si="37"/>
        <v>-1031.154</v>
      </c>
      <c r="Y273" s="6"/>
      <c r="Z273" s="7"/>
      <c r="AB273" s="6"/>
      <c r="AC273" s="8"/>
      <c r="AD273" s="2"/>
      <c r="AE273" s="2"/>
      <c r="AF273" s="2"/>
      <c r="AG273" s="2"/>
      <c r="AH273" s="2"/>
      <c r="AI273" s="1"/>
      <c r="AJ273" s="6"/>
      <c r="AK273" s="6"/>
      <c r="AL273" s="8"/>
      <c r="AM273" s="6"/>
      <c r="AN273" s="6"/>
      <c r="AO273" s="6"/>
      <c r="AP273" s="6"/>
      <c r="AQ273" s="6"/>
      <c r="AR273" s="6"/>
      <c r="AS273" s="6"/>
      <c r="AT273" s="6"/>
      <c r="AU273" s="6"/>
      <c r="AV273" s="13"/>
      <c r="BB273" s="6"/>
      <c r="BC273" s="8"/>
      <c r="BD273" s="6"/>
      <c r="BE273" s="6"/>
      <c r="BF273" s="6"/>
      <c r="BG273" s="8"/>
      <c r="BH273" s="6"/>
      <c r="BI273" s="6"/>
      <c r="BJ273" s="6"/>
      <c r="BK273" s="6"/>
      <c r="BL273" s="6"/>
      <c r="BM273" s="8"/>
      <c r="BN273" s="6"/>
      <c r="BO273" s="6"/>
      <c r="BP273" s="6"/>
      <c r="BQ273" s="6"/>
      <c r="BR273" s="6"/>
      <c r="BS273" s="8"/>
      <c r="BT273" s="8"/>
      <c r="BU273" s="6"/>
      <c r="BV273" s="6"/>
      <c r="BW273" s="6"/>
      <c r="BX273" s="8"/>
      <c r="BY273" s="6"/>
      <c r="CE273" s="7"/>
    </row>
    <row r="274" spans="1:83" ht="14" x14ac:dyDescent="0.3">
      <c r="X274" s="2"/>
      <c r="CA274" s="7"/>
    </row>
    <row r="275" spans="1:83" ht="14" x14ac:dyDescent="0.3">
      <c r="X275" s="2"/>
      <c r="CA275" s="7"/>
    </row>
    <row r="276" spans="1:83" ht="15.75" customHeight="1" x14ac:dyDescent="0.25">
      <c r="CA276" s="7"/>
    </row>
    <row r="277" spans="1:83" ht="15.75" customHeight="1" x14ac:dyDescent="0.25">
      <c r="CA277" s="7"/>
    </row>
    <row r="278" spans="1:83" ht="15.75" customHeight="1" x14ac:dyDescent="0.25">
      <c r="CA278" s="7"/>
    </row>
    <row r="279" spans="1:83" ht="15.75" customHeight="1" x14ac:dyDescent="0.25">
      <c r="CA279" s="7"/>
    </row>
    <row r="280" spans="1:83" ht="15.75" customHeight="1" x14ac:dyDescent="0.25">
      <c r="CA280" s="7"/>
    </row>
    <row r="281" spans="1:83" ht="15.75" customHeight="1" x14ac:dyDescent="0.25">
      <c r="CA281" s="7"/>
    </row>
    <row r="282" spans="1:83" ht="15.75" customHeight="1" x14ac:dyDescent="0.25">
      <c r="CA282" s="7"/>
    </row>
    <row r="283" spans="1:83" ht="15.75" customHeight="1" x14ac:dyDescent="0.25">
      <c r="CA283" s="7"/>
    </row>
    <row r="284" spans="1:83" ht="15.75" customHeight="1" x14ac:dyDescent="0.25">
      <c r="CA284" s="7"/>
    </row>
    <row r="285" spans="1:83" ht="15.75" customHeight="1" x14ac:dyDescent="0.25">
      <c r="CA285" s="11"/>
    </row>
    <row r="286" spans="1:83" ht="15.75" customHeight="1" x14ac:dyDescent="0.25">
      <c r="CA286" s="7"/>
    </row>
    <row r="287" spans="1:83" ht="15.75" customHeight="1" x14ac:dyDescent="0.25">
      <c r="CA287" s="7"/>
    </row>
    <row r="288" spans="1:83" ht="15.75" customHeight="1" x14ac:dyDescent="0.25">
      <c r="CA288" s="7"/>
    </row>
    <row r="289" spans="79:79" ht="15.75" customHeight="1" x14ac:dyDescent="0.25">
      <c r="CA289" s="7"/>
    </row>
    <row r="290" spans="79:79" ht="15.75" customHeight="1" x14ac:dyDescent="0.25">
      <c r="CA290" s="7"/>
    </row>
    <row r="291" spans="79:79" ht="15.75" customHeight="1" x14ac:dyDescent="0.25">
      <c r="CA291" s="7"/>
    </row>
    <row r="292" spans="79:79" ht="15.75" customHeight="1" x14ac:dyDescent="0.25">
      <c r="CA292" s="7"/>
    </row>
  </sheetData>
  <mergeCells count="14">
    <mergeCell ref="BT1:BY1"/>
    <mergeCell ref="BZ1:CE1"/>
    <mergeCell ref="B1:E1"/>
    <mergeCell ref="H1:K1"/>
    <mergeCell ref="N1:Q1"/>
    <mergeCell ref="T1:W1"/>
    <mergeCell ref="X1:AC1"/>
    <mergeCell ref="AD1:AI1"/>
    <mergeCell ref="AJ1:AO1"/>
    <mergeCell ref="AP1:AU1"/>
    <mergeCell ref="AV1:BA1"/>
    <mergeCell ref="BB1:BG1"/>
    <mergeCell ref="BH1:BM1"/>
    <mergeCell ref="BN1:BS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6 Days Ventral Only-Average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Kalpita Balu</cp:lastModifiedBy>
  <dcterms:modified xsi:type="dcterms:W3CDTF">2025-09-06T00:28:53Z</dcterms:modified>
</cp:coreProperties>
</file>